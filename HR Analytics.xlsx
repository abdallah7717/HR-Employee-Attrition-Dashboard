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ats\OneDrive\سطح المكتب\"/>
    </mc:Choice>
  </mc:AlternateContent>
  <xr:revisionPtr revIDLastSave="0" documentId="13_ncr:9_{49A501AA-0E4D-44F2-A276-F78D4C225E94}" xr6:coauthVersionLast="47" xr6:coauthVersionMax="47" xr10:uidLastSave="{00000000-0000-0000-0000-000000000000}"/>
  <bookViews>
    <workbookView xWindow="-108" yWindow="-108" windowWidth="23256" windowHeight="12456" activeTab="1" xr2:uid="{300E511D-47EE-4528-ACFD-93E46DAE0A43}"/>
  </bookViews>
  <sheets>
    <sheet name="HR-Employee-Attrition" sheetId="1" r:id="rId1"/>
    <sheet name="Analytics" sheetId="2" r:id="rId2"/>
  </sheets>
  <calcPr calcId="0"/>
  <pivotCaches>
    <pivotCache cacheId="14" r:id="rId3"/>
  </pivotCaches>
</workbook>
</file>

<file path=xl/calcChain.xml><?xml version="1.0" encoding="utf-8"?>
<calcChain xmlns="http://schemas.openxmlformats.org/spreadsheetml/2006/main">
  <c r="B5" i="2" l="1"/>
  <c r="B4" i="2"/>
  <c r="B3" i="2"/>
  <c r="B2" i="2"/>
  <c r="B1" i="2"/>
</calcChain>
</file>

<file path=xl/sharedStrings.xml><?xml version="1.0" encoding="utf-8"?>
<sst xmlns="http://schemas.openxmlformats.org/spreadsheetml/2006/main" count="13340" uniqueCount="80">
  <si>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</si>
  <si>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</si>
  <si>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</si>
  <si>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</si>
  <si>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</si>
  <si>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</si>
  <si>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</si>
  <si>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</si>
  <si>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</si>
  <si>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</si>
  <si>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</si>
  <si>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</si>
  <si>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</si>
  <si>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</si>
  <si>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</si>
  <si>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</si>
  <si>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</si>
  <si>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</si>
  <si>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</si>
  <si>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</si>
  <si>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</si>
  <si>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</si>
  <si>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</si>
  <si>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</si>
  <si>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</si>
  <si>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</si>
  <si>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</si>
  <si>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</si>
  <si>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</si>
  <si>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</si>
  <si>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</si>
  <si>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</si>
  <si>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</si>
  <si>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</si>
  <si>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</si>
  <si>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</si>
  <si>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</si>
  <si>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</si>
  <si>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</si>
  <si>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</si>
  <si>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</si>
  <si>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</si>
  <si>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</si>
  <si>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</si>
  <si>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</si>
  <si>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</si>
  <si>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</si>
  <si>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</si>
  <si>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</si>
  <si>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</si>
  <si>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</si>
  <si>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</si>
  <si>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</si>
  <si>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</si>
  <si>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</si>
  <si>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</si>
  <si>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</si>
  <si>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</si>
  <si>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</si>
  <si>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</si>
  <si>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</si>
  <si>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</si>
  <si>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No.of emps Attrition = Yes</t>
  </si>
  <si>
    <t>No.of emps Attrition = No</t>
  </si>
  <si>
    <t>No.of emps</t>
  </si>
  <si>
    <t>Attrition Rate</t>
  </si>
  <si>
    <t>Average of Monthly Income</t>
  </si>
  <si>
    <t>Row Labels</t>
  </si>
  <si>
    <t>Grand Total</t>
  </si>
  <si>
    <t>Column Labels</t>
  </si>
  <si>
    <t>Count of Attrition</t>
  </si>
  <si>
    <t>Average of MonthlyIncome</t>
  </si>
  <si>
    <t>Average of Age</t>
  </si>
  <si>
    <t>Which department has the most emps</t>
  </si>
  <si>
    <t>Emps who left the campany by gendrer</t>
  </si>
  <si>
    <t>Emps who left the campany by job role</t>
  </si>
  <si>
    <t>the impact of overtime work</t>
  </si>
  <si>
    <t>Average of salary per department</t>
  </si>
  <si>
    <t>Average of age per department</t>
  </si>
  <si>
    <t>Job 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</si>
</sst>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1"/>
      <name val="Congenial Black"/>
    </font>
    <font>
      <b/>
      <sz val="11"/>
      <color theme="9" tint="-0.249977111117893"/>
      <name val="Congenial Black"/>
    </font>
    <font>
      <b/>
      <sz val="11"/>
      <color rgb="FFC00000"/>
      <name val="Congenial Black"/>
    </font>
    <font>
      <b/>
      <sz val="11"/>
      <color theme="8" tint="-0.249977111117893"/>
      <name val="Congenial Black"/>
    </font>
    <font>
      <b/>
      <sz val="11"/>
      <color theme="4" tint="-0.249977111117893"/>
      <name val="Congenial Black"/>
    </font>
    <font>
      <b/>
      <sz val="12"/>
      <color theme="4" tint="-0.249977111117893"/>
      <name val="Congenial Black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9" fontId="21" fillId="0" borderId="0" xfId="2" applyFont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22" fillId="33" borderId="0" xfId="0" applyFont="1" applyFill="1" applyAlignment="1">
      <alignment horizontal="center"/>
    </xf>
    <xf numFmtId="0" fontId="23" fillId="34" borderId="0" xfId="0" applyFont="1" applyFill="1" applyAlignment="1">
      <alignment horizontal="center"/>
    </xf>
    <xf numFmtId="43" fontId="23" fillId="34" borderId="0" xfId="1" applyFont="1" applyFill="1" applyAlignment="1">
      <alignment horizontal="center"/>
    </xf>
    <xf numFmtId="0" fontId="22" fillId="35" borderId="0" xfId="0" applyFont="1" applyFill="1" applyAlignment="1">
      <alignment horizontal="center"/>
    </xf>
    <xf numFmtId="0" fontId="18" fillId="35" borderId="0" xfId="0" applyFont="1" applyFill="1" applyAlignment="1">
      <alignment horizontal="center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92"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font>
        <name val="Congenial Black"/>
        <scheme val="none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allah Elsayed" refreshedDate="46211.734722337962" createdVersion="8" refreshedVersion="8" minRefreshableVersion="3" recordCount="1470" xr:uid="{AA61371E-5CA8-466F-B700-4595A98929FC}">
  <cacheSource type="worksheet">
    <worksheetSource ref="A1:AI1471" sheet="HR-Employee-Attrition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x v="0"/>
    <n v="94"/>
    <n v="3"/>
    <n v="2"/>
    <x v="0"/>
    <x v="0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x v="1"/>
    <n v="61"/>
    <n v="2"/>
    <n v="2"/>
    <x v="1"/>
    <x v="1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x v="1"/>
    <n v="92"/>
    <n v="2"/>
    <n v="1"/>
    <x v="2"/>
    <x v="2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x v="0"/>
    <n v="56"/>
    <n v="3"/>
    <n v="1"/>
    <x v="1"/>
    <x v="2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x v="1"/>
    <n v="40"/>
    <n v="3"/>
    <n v="1"/>
    <x v="2"/>
    <x v="1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x v="1"/>
    <n v="79"/>
    <n v="3"/>
    <n v="1"/>
    <x v="2"/>
    <x v="0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x v="0"/>
    <n v="81"/>
    <n v="4"/>
    <n v="1"/>
    <x v="2"/>
    <x v="3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x v="1"/>
    <n v="67"/>
    <n v="3"/>
    <n v="1"/>
    <x v="2"/>
    <x v="2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x v="1"/>
    <n v="44"/>
    <n v="2"/>
    <n v="3"/>
    <x v="3"/>
    <x v="2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x v="1"/>
    <n v="94"/>
    <n v="3"/>
    <n v="2"/>
    <x v="4"/>
    <x v="2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x v="1"/>
    <n v="84"/>
    <n v="4"/>
    <n v="1"/>
    <x v="2"/>
    <x v="1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x v="0"/>
    <n v="49"/>
    <n v="2"/>
    <n v="2"/>
    <x v="2"/>
    <x v="2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x v="1"/>
    <n v="31"/>
    <n v="3"/>
    <n v="1"/>
    <x v="1"/>
    <x v="2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x v="1"/>
    <n v="93"/>
    <n v="3"/>
    <n v="1"/>
    <x v="2"/>
    <x v="0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x v="1"/>
    <n v="50"/>
    <n v="2"/>
    <n v="1"/>
    <x v="2"/>
    <x v="2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x v="0"/>
    <n v="51"/>
    <n v="4"/>
    <n v="3"/>
    <x v="3"/>
    <x v="3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x v="1"/>
    <n v="80"/>
    <n v="4"/>
    <n v="1"/>
    <x v="1"/>
    <x v="1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x v="1"/>
    <n v="96"/>
    <n v="4"/>
    <n v="1"/>
    <x v="2"/>
    <x v="0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x v="0"/>
    <n v="78"/>
    <n v="2"/>
    <n v="4"/>
    <x v="5"/>
    <x v="0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x v="1"/>
    <n v="45"/>
    <n v="3"/>
    <n v="1"/>
    <x v="1"/>
    <x v="0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x v="0"/>
    <n v="96"/>
    <n v="4"/>
    <n v="2"/>
    <x v="3"/>
    <x v="2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x v="1"/>
    <n v="82"/>
    <n v="2"/>
    <n v="1"/>
    <x v="6"/>
    <x v="3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x v="0"/>
    <n v="53"/>
    <n v="3"/>
    <n v="3"/>
    <x v="7"/>
    <x v="1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x v="1"/>
    <n v="96"/>
    <n v="3"/>
    <n v="1"/>
    <x v="1"/>
    <x v="0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x v="1"/>
    <n v="83"/>
    <n v="3"/>
    <n v="1"/>
    <x v="1"/>
    <x v="3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x v="0"/>
    <n v="58"/>
    <n v="3"/>
    <n v="5"/>
    <x v="5"/>
    <x v="2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x v="0"/>
    <n v="72"/>
    <n v="1"/>
    <n v="1"/>
    <x v="1"/>
    <x v="3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x v="1"/>
    <n v="48"/>
    <n v="3"/>
    <n v="2"/>
    <x v="0"/>
    <x v="1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x v="0"/>
    <n v="42"/>
    <n v="2"/>
    <n v="3"/>
    <x v="4"/>
    <x v="0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x v="0"/>
    <n v="83"/>
    <n v="3"/>
    <n v="5"/>
    <x v="5"/>
    <x v="3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x v="1"/>
    <n v="78"/>
    <n v="3"/>
    <n v="1"/>
    <x v="2"/>
    <x v="0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x v="1"/>
    <n v="41"/>
    <n v="3"/>
    <n v="2"/>
    <x v="4"/>
    <x v="0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x v="1"/>
    <n v="83"/>
    <n v="2"/>
    <n v="1"/>
    <x v="2"/>
    <x v="2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x v="1"/>
    <n v="56"/>
    <n v="3"/>
    <n v="2"/>
    <x v="6"/>
    <x v="0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x v="1"/>
    <n v="61"/>
    <n v="3"/>
    <n v="1"/>
    <x v="1"/>
    <x v="0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x v="0"/>
    <n v="72"/>
    <n v="4"/>
    <n v="1"/>
    <x v="1"/>
    <x v="2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x v="1"/>
    <n v="86"/>
    <n v="2"/>
    <n v="1"/>
    <x v="6"/>
    <x v="2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x v="0"/>
    <n v="97"/>
    <n v="3"/>
    <n v="1"/>
    <x v="6"/>
    <x v="0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x v="0"/>
    <n v="82"/>
    <n v="2"/>
    <n v="1"/>
    <x v="1"/>
    <x v="3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x v="0"/>
    <n v="42"/>
    <n v="4"/>
    <n v="2"/>
    <x v="0"/>
    <x v="3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x v="1"/>
    <n v="75"/>
    <n v="3"/>
    <n v="1"/>
    <x v="2"/>
    <x v="0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x v="0"/>
    <n v="33"/>
    <n v="3"/>
    <n v="1"/>
    <x v="2"/>
    <x v="3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x v="1"/>
    <n v="48"/>
    <n v="1"/>
    <n v="1"/>
    <x v="2"/>
    <x v="2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x v="1"/>
    <n v="37"/>
    <n v="3"/>
    <n v="3"/>
    <x v="0"/>
    <x v="2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x v="0"/>
    <n v="58"/>
    <n v="3"/>
    <n v="2"/>
    <x v="2"/>
    <x v="0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x v="0"/>
    <n v="49"/>
    <n v="3"/>
    <n v="5"/>
    <x v="7"/>
    <x v="2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x v="1"/>
    <n v="72"/>
    <n v="3"/>
    <n v="2"/>
    <x v="0"/>
    <x v="2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x v="1"/>
    <n v="73"/>
    <n v="3"/>
    <n v="1"/>
    <x v="1"/>
    <x v="1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x v="1"/>
    <n v="98"/>
    <n v="3"/>
    <n v="2"/>
    <x v="0"/>
    <x v="0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x v="1"/>
    <n v="36"/>
    <n v="4"/>
    <n v="1"/>
    <x v="2"/>
    <x v="0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x v="1"/>
    <n v="98"/>
    <n v="2"/>
    <n v="3"/>
    <x v="2"/>
    <x v="2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x v="1"/>
    <n v="50"/>
    <n v="3"/>
    <n v="1"/>
    <x v="2"/>
    <x v="2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x v="0"/>
    <n v="75"/>
    <n v="3"/>
    <n v="2"/>
    <x v="0"/>
    <x v="3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x v="1"/>
    <n v="79"/>
    <n v="2"/>
    <n v="3"/>
    <x v="4"/>
    <x v="3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x v="0"/>
    <n v="47"/>
    <n v="2"/>
    <n v="2"/>
    <x v="0"/>
    <x v="0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x v="0"/>
    <n v="98"/>
    <n v="3"/>
    <n v="3"/>
    <x v="7"/>
    <x v="0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x v="1"/>
    <n v="71"/>
    <n v="3"/>
    <n v="3"/>
    <x v="0"/>
    <x v="3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x v="0"/>
    <n v="30"/>
    <n v="3"/>
    <n v="1"/>
    <x v="2"/>
    <x v="3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x v="1"/>
    <n v="48"/>
    <n v="3"/>
    <n v="2"/>
    <x v="2"/>
    <x v="0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x v="1"/>
    <n v="51"/>
    <n v="2"/>
    <n v="2"/>
    <x v="3"/>
    <x v="2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x v="1"/>
    <n v="33"/>
    <n v="3"/>
    <n v="2"/>
    <x v="3"/>
    <x v="0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x v="0"/>
    <n v="50"/>
    <n v="3"/>
    <n v="2"/>
    <x v="2"/>
    <x v="0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x v="0"/>
    <n v="43"/>
    <n v="2"/>
    <n v="5"/>
    <x v="7"/>
    <x v="2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x v="0"/>
    <n v="99"/>
    <n v="3"/>
    <n v="3"/>
    <x v="0"/>
    <x v="3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x v="0"/>
    <n v="59"/>
    <n v="3"/>
    <n v="3"/>
    <x v="4"/>
    <x v="2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x v="0"/>
    <n v="33"/>
    <n v="3"/>
    <n v="4"/>
    <x v="5"/>
    <x v="2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x v="1"/>
    <n v="95"/>
    <n v="2"/>
    <n v="2"/>
    <x v="3"/>
    <x v="1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x v="1"/>
    <n v="59"/>
    <n v="3"/>
    <n v="3"/>
    <x v="1"/>
    <x v="3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x v="1"/>
    <n v="79"/>
    <n v="3"/>
    <n v="1"/>
    <x v="1"/>
    <x v="3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x v="1"/>
    <n v="79"/>
    <n v="2"/>
    <n v="1"/>
    <x v="1"/>
    <x v="2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x v="0"/>
    <n v="57"/>
    <n v="2"/>
    <n v="2"/>
    <x v="0"/>
    <x v="2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x v="1"/>
    <n v="76"/>
    <n v="3"/>
    <n v="1"/>
    <x v="1"/>
    <x v="1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x v="1"/>
    <n v="87"/>
    <n v="3"/>
    <n v="1"/>
    <x v="1"/>
    <x v="1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x v="1"/>
    <n v="66"/>
    <n v="3"/>
    <n v="2"/>
    <x v="1"/>
    <x v="1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x v="0"/>
    <n v="55"/>
    <n v="4"/>
    <n v="1"/>
    <x v="2"/>
    <x v="0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x v="0"/>
    <n v="61"/>
    <n v="3"/>
    <n v="2"/>
    <x v="3"/>
    <x v="0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x v="1"/>
    <n v="32"/>
    <n v="2"/>
    <n v="2"/>
    <x v="0"/>
    <x v="3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x v="1"/>
    <n v="52"/>
    <n v="3"/>
    <n v="3"/>
    <x v="7"/>
    <x v="3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x v="1"/>
    <n v="30"/>
    <n v="3"/>
    <n v="3"/>
    <x v="7"/>
    <x v="2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x v="1"/>
    <n v="80"/>
    <n v="3"/>
    <n v="2"/>
    <x v="8"/>
    <x v="1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x v="1"/>
    <n v="55"/>
    <n v="2"/>
    <n v="2"/>
    <x v="2"/>
    <x v="0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x v="1"/>
    <n v="30"/>
    <n v="2"/>
    <n v="1"/>
    <x v="1"/>
    <x v="2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x v="1"/>
    <n v="70"/>
    <n v="3"/>
    <n v="3"/>
    <x v="0"/>
    <x v="0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x v="0"/>
    <n v="79"/>
    <n v="1"/>
    <n v="2"/>
    <x v="1"/>
    <x v="0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x v="1"/>
    <n v="94"/>
    <n v="3"/>
    <n v="2"/>
    <x v="3"/>
    <x v="1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x v="1"/>
    <n v="49"/>
    <n v="1"/>
    <n v="3"/>
    <x v="3"/>
    <x v="0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x v="1"/>
    <n v="62"/>
    <n v="3"/>
    <n v="1"/>
    <x v="6"/>
    <x v="3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x v="1"/>
    <n v="96"/>
    <n v="3"/>
    <n v="1"/>
    <x v="2"/>
    <x v="0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x v="1"/>
    <n v="99"/>
    <n v="2"/>
    <n v="2"/>
    <x v="4"/>
    <x v="0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x v="1"/>
    <n v="64"/>
    <n v="2"/>
    <n v="3"/>
    <x v="0"/>
    <x v="0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x v="1"/>
    <n v="78"/>
    <n v="2"/>
    <n v="4"/>
    <x v="4"/>
    <x v="1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x v="1"/>
    <n v="71"/>
    <n v="3"/>
    <n v="2"/>
    <x v="0"/>
    <x v="0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x v="0"/>
    <n v="63"/>
    <n v="2"/>
    <n v="2"/>
    <x v="0"/>
    <x v="1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x v="1"/>
    <n v="40"/>
    <n v="2"/>
    <n v="3"/>
    <x v="4"/>
    <x v="3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x v="1"/>
    <n v="87"/>
    <n v="3"/>
    <n v="2"/>
    <x v="0"/>
    <x v="2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x v="0"/>
    <n v="60"/>
    <n v="3"/>
    <n v="3"/>
    <x v="7"/>
    <x v="2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x v="0"/>
    <n v="33"/>
    <n v="3"/>
    <n v="2"/>
    <x v="0"/>
    <x v="2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x v="1"/>
    <n v="43"/>
    <n v="3"/>
    <n v="2"/>
    <x v="0"/>
    <x v="2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x v="1"/>
    <n v="37"/>
    <n v="3"/>
    <n v="4"/>
    <x v="0"/>
    <x v="2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x v="1"/>
    <n v="67"/>
    <n v="3"/>
    <n v="2"/>
    <x v="2"/>
    <x v="1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x v="1"/>
    <n v="63"/>
    <n v="3"/>
    <n v="1"/>
    <x v="8"/>
    <x v="3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x v="1"/>
    <n v="71"/>
    <n v="3"/>
    <n v="1"/>
    <x v="1"/>
    <x v="3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x v="0"/>
    <n v="66"/>
    <n v="2"/>
    <n v="1"/>
    <x v="2"/>
    <x v="0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x v="0"/>
    <n v="41"/>
    <n v="3"/>
    <n v="2"/>
    <x v="1"/>
    <x v="2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x v="1"/>
    <n v="100"/>
    <n v="2"/>
    <n v="2"/>
    <x v="4"/>
    <x v="0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x v="0"/>
    <n v="32"/>
    <n v="2"/>
    <n v="5"/>
    <x v="5"/>
    <x v="0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x v="0"/>
    <n v="73"/>
    <n v="3"/>
    <n v="5"/>
    <x v="7"/>
    <x v="1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x v="1"/>
    <n v="46"/>
    <n v="2"/>
    <n v="2"/>
    <x v="0"/>
    <x v="2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x v="1"/>
    <n v="64"/>
    <n v="2"/>
    <n v="1"/>
    <x v="1"/>
    <x v="0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x v="0"/>
    <n v="59"/>
    <n v="3"/>
    <n v="1"/>
    <x v="2"/>
    <x v="0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x v="0"/>
    <n v="30"/>
    <n v="2"/>
    <n v="3"/>
    <x v="4"/>
    <x v="3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x v="1"/>
    <n v="66"/>
    <n v="1"/>
    <n v="2"/>
    <x v="2"/>
    <x v="2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x v="0"/>
    <n v="30"/>
    <n v="4"/>
    <n v="4"/>
    <x v="5"/>
    <x v="0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x v="1"/>
    <n v="52"/>
    <n v="3"/>
    <n v="1"/>
    <x v="2"/>
    <x v="2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x v="0"/>
    <n v="45"/>
    <n v="2"/>
    <n v="2"/>
    <x v="1"/>
    <x v="1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x v="1"/>
    <n v="87"/>
    <n v="3"/>
    <n v="3"/>
    <x v="0"/>
    <x v="0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x v="0"/>
    <n v="45"/>
    <n v="2"/>
    <n v="3"/>
    <x v="5"/>
    <x v="3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x v="0"/>
    <n v="92"/>
    <n v="3"/>
    <n v="3"/>
    <x v="0"/>
    <x v="0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x v="0"/>
    <n v="39"/>
    <n v="3"/>
    <n v="1"/>
    <x v="2"/>
    <x v="0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x v="1"/>
    <n v="92"/>
    <n v="3"/>
    <n v="4"/>
    <x v="5"/>
    <x v="0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x v="1"/>
    <n v="96"/>
    <n v="1"/>
    <n v="1"/>
    <x v="1"/>
    <x v="2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x v="1"/>
    <n v="95"/>
    <n v="3"/>
    <n v="2"/>
    <x v="0"/>
    <x v="1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x v="0"/>
    <n v="72"/>
    <n v="3"/>
    <n v="1"/>
    <x v="1"/>
    <x v="1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x v="1"/>
    <n v="51"/>
    <n v="3"/>
    <n v="5"/>
    <x v="7"/>
    <x v="2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x v="1"/>
    <n v="76"/>
    <n v="1"/>
    <n v="2"/>
    <x v="0"/>
    <x v="2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x v="0"/>
    <n v="46"/>
    <n v="2"/>
    <n v="1"/>
    <x v="1"/>
    <x v="1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x v="0"/>
    <n v="94"/>
    <n v="3"/>
    <n v="3"/>
    <x v="4"/>
    <x v="0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x v="1"/>
    <n v="50"/>
    <n v="3"/>
    <n v="1"/>
    <x v="6"/>
    <x v="2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x v="1"/>
    <n v="100"/>
    <n v="3"/>
    <n v="1"/>
    <x v="2"/>
    <x v="0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x v="0"/>
    <n v="96"/>
    <n v="3"/>
    <n v="2"/>
    <x v="3"/>
    <x v="3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x v="0"/>
    <n v="72"/>
    <n v="4"/>
    <n v="1"/>
    <x v="1"/>
    <x v="2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x v="0"/>
    <n v="77"/>
    <n v="3"/>
    <n v="3"/>
    <x v="0"/>
    <x v="0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x v="0"/>
    <n v="71"/>
    <n v="1"/>
    <n v="2"/>
    <x v="0"/>
    <x v="2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x v="1"/>
    <n v="96"/>
    <n v="3"/>
    <n v="3"/>
    <x v="0"/>
    <x v="2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x v="0"/>
    <n v="61"/>
    <n v="3"/>
    <n v="1"/>
    <x v="8"/>
    <x v="2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x v="1"/>
    <n v="84"/>
    <n v="3"/>
    <n v="2"/>
    <x v="3"/>
    <x v="1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x v="1"/>
    <n v="53"/>
    <n v="1"/>
    <n v="3"/>
    <x v="3"/>
    <x v="0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x v="0"/>
    <n v="47"/>
    <n v="2"/>
    <n v="2"/>
    <x v="0"/>
    <x v="2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x v="1"/>
    <n v="41"/>
    <n v="2"/>
    <n v="2"/>
    <x v="0"/>
    <x v="2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x v="1"/>
    <n v="48"/>
    <n v="3"/>
    <n v="2"/>
    <x v="8"/>
    <x v="0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x v="0"/>
    <n v="41"/>
    <n v="3"/>
    <n v="1"/>
    <x v="2"/>
    <x v="3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x v="1"/>
    <n v="83"/>
    <n v="3"/>
    <n v="1"/>
    <x v="1"/>
    <x v="0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x v="0"/>
    <n v="32"/>
    <n v="3"/>
    <n v="2"/>
    <x v="1"/>
    <x v="2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x v="0"/>
    <n v="75"/>
    <n v="3"/>
    <n v="1"/>
    <x v="1"/>
    <x v="2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x v="1"/>
    <n v="35"/>
    <n v="1"/>
    <n v="2"/>
    <x v="0"/>
    <x v="0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x v="0"/>
    <n v="84"/>
    <n v="3"/>
    <n v="1"/>
    <x v="1"/>
    <x v="3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x v="1"/>
    <n v="35"/>
    <n v="2"/>
    <n v="1"/>
    <x v="2"/>
    <x v="0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x v="1"/>
    <n v="91"/>
    <n v="2"/>
    <n v="4"/>
    <x v="5"/>
    <x v="3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x v="1"/>
    <n v="94"/>
    <n v="3"/>
    <n v="1"/>
    <x v="2"/>
    <x v="3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x v="0"/>
    <n v="79"/>
    <n v="3"/>
    <n v="1"/>
    <x v="2"/>
    <x v="1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x v="0"/>
    <n v="54"/>
    <n v="3"/>
    <n v="2"/>
    <x v="1"/>
    <x v="1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x v="1"/>
    <n v="94"/>
    <n v="3"/>
    <n v="3"/>
    <x v="0"/>
    <x v="1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x v="1"/>
    <n v="34"/>
    <n v="3"/>
    <n v="2"/>
    <x v="6"/>
    <x v="2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x v="1"/>
    <n v="60"/>
    <n v="3"/>
    <n v="2"/>
    <x v="2"/>
    <x v="1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x v="0"/>
    <n v="43"/>
    <n v="3"/>
    <n v="3"/>
    <x v="0"/>
    <x v="0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x v="1"/>
    <n v="41"/>
    <n v="3"/>
    <n v="2"/>
    <x v="3"/>
    <x v="2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x v="1"/>
    <n v="34"/>
    <n v="2"/>
    <n v="2"/>
    <x v="3"/>
    <x v="2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x v="0"/>
    <n v="75"/>
    <n v="2"/>
    <n v="1"/>
    <x v="1"/>
    <x v="1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x v="1"/>
    <n v="67"/>
    <n v="2"/>
    <n v="3"/>
    <x v="0"/>
    <x v="0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x v="0"/>
    <n v="75"/>
    <n v="3"/>
    <n v="1"/>
    <x v="6"/>
    <x v="2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x v="1"/>
    <n v="80"/>
    <n v="3"/>
    <n v="1"/>
    <x v="1"/>
    <x v="0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x v="1"/>
    <n v="57"/>
    <n v="3"/>
    <n v="1"/>
    <x v="1"/>
    <x v="1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x v="1"/>
    <n v="42"/>
    <n v="3"/>
    <n v="1"/>
    <x v="1"/>
    <x v="0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x v="1"/>
    <n v="83"/>
    <n v="4"/>
    <n v="3"/>
    <x v="4"/>
    <x v="0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x v="1"/>
    <n v="79"/>
    <n v="2"/>
    <n v="1"/>
    <x v="1"/>
    <x v="2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x v="0"/>
    <n v="53"/>
    <n v="3"/>
    <n v="5"/>
    <x v="5"/>
    <x v="1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x v="1"/>
    <n v="56"/>
    <n v="3"/>
    <n v="1"/>
    <x v="1"/>
    <x v="2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x v="0"/>
    <n v="41"/>
    <n v="3"/>
    <n v="3"/>
    <x v="0"/>
    <x v="0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x v="0"/>
    <n v="59"/>
    <n v="2"/>
    <n v="2"/>
    <x v="0"/>
    <x v="0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x v="1"/>
    <n v="43"/>
    <n v="3"/>
    <n v="1"/>
    <x v="1"/>
    <x v="2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x v="1"/>
    <n v="51"/>
    <n v="3"/>
    <n v="1"/>
    <x v="1"/>
    <x v="1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x v="0"/>
    <n v="100"/>
    <n v="1"/>
    <n v="1"/>
    <x v="6"/>
    <x v="3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x v="1"/>
    <n v="30"/>
    <n v="3"/>
    <n v="1"/>
    <x v="2"/>
    <x v="1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x v="1"/>
    <n v="66"/>
    <n v="3"/>
    <n v="2"/>
    <x v="2"/>
    <x v="3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x v="0"/>
    <n v="30"/>
    <n v="3"/>
    <n v="2"/>
    <x v="0"/>
    <x v="3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x v="0"/>
    <n v="67"/>
    <n v="3"/>
    <n v="1"/>
    <x v="1"/>
    <x v="3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x v="1"/>
    <n v="90"/>
    <n v="3"/>
    <n v="1"/>
    <x v="1"/>
    <x v="0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x v="1"/>
    <n v="47"/>
    <n v="2"/>
    <n v="1"/>
    <x v="2"/>
    <x v="0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x v="0"/>
    <n v="92"/>
    <n v="3"/>
    <n v="3"/>
    <x v="0"/>
    <x v="3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x v="0"/>
    <n v="75"/>
    <n v="3"/>
    <n v="1"/>
    <x v="2"/>
    <x v="0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x v="0"/>
    <n v="95"/>
    <n v="3"/>
    <n v="1"/>
    <x v="1"/>
    <x v="0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x v="0"/>
    <n v="95"/>
    <n v="3"/>
    <n v="1"/>
    <x v="1"/>
    <x v="1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x v="0"/>
    <n v="70"/>
    <n v="3"/>
    <n v="1"/>
    <x v="6"/>
    <x v="1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x v="1"/>
    <n v="86"/>
    <n v="2"/>
    <n v="1"/>
    <x v="2"/>
    <x v="2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x v="0"/>
    <n v="57"/>
    <n v="4"/>
    <n v="2"/>
    <x v="3"/>
    <x v="3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x v="0"/>
    <n v="72"/>
    <n v="3"/>
    <n v="1"/>
    <x v="1"/>
    <x v="1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x v="0"/>
    <n v="46"/>
    <n v="3"/>
    <n v="5"/>
    <x v="5"/>
    <x v="2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x v="1"/>
    <n v="61"/>
    <n v="4"/>
    <n v="5"/>
    <x v="7"/>
    <x v="1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x v="1"/>
    <n v="45"/>
    <n v="2"/>
    <n v="2"/>
    <x v="3"/>
    <x v="2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x v="0"/>
    <n v="98"/>
    <n v="3"/>
    <n v="4"/>
    <x v="4"/>
    <x v="1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x v="1"/>
    <n v="65"/>
    <n v="2"/>
    <n v="5"/>
    <x v="5"/>
    <x v="2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x v="0"/>
    <n v="99"/>
    <n v="3"/>
    <n v="1"/>
    <x v="1"/>
    <x v="1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x v="1"/>
    <n v="50"/>
    <n v="2"/>
    <n v="2"/>
    <x v="3"/>
    <x v="2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x v="1"/>
    <n v="37"/>
    <n v="4"/>
    <n v="1"/>
    <x v="1"/>
    <x v="0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x v="1"/>
    <n v="65"/>
    <n v="2"/>
    <n v="4"/>
    <x v="5"/>
    <x v="0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x v="1"/>
    <n v="65"/>
    <n v="4"/>
    <n v="1"/>
    <x v="1"/>
    <x v="3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x v="0"/>
    <n v="37"/>
    <n v="3"/>
    <n v="2"/>
    <x v="2"/>
    <x v="1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x v="0"/>
    <n v="36"/>
    <n v="3"/>
    <n v="2"/>
    <x v="3"/>
    <x v="2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x v="1"/>
    <n v="88"/>
    <n v="3"/>
    <n v="2"/>
    <x v="3"/>
    <x v="2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x v="1"/>
    <n v="54"/>
    <n v="3"/>
    <n v="2"/>
    <x v="3"/>
    <x v="0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x v="1"/>
    <n v="60"/>
    <n v="2"/>
    <n v="2"/>
    <x v="3"/>
    <x v="3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x v="1"/>
    <n v="92"/>
    <n v="3"/>
    <n v="2"/>
    <x v="3"/>
    <x v="0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x v="1"/>
    <n v="43"/>
    <n v="3"/>
    <n v="1"/>
    <x v="1"/>
    <x v="2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x v="1"/>
    <n v="99"/>
    <n v="3"/>
    <n v="2"/>
    <x v="2"/>
    <x v="0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x v="1"/>
    <n v="70"/>
    <n v="3"/>
    <n v="2"/>
    <x v="4"/>
    <x v="3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x v="0"/>
    <n v="35"/>
    <n v="3"/>
    <n v="3"/>
    <x v="0"/>
    <x v="0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x v="1"/>
    <n v="60"/>
    <n v="4"/>
    <n v="1"/>
    <x v="1"/>
    <x v="1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x v="0"/>
    <n v="73"/>
    <n v="3"/>
    <n v="1"/>
    <x v="2"/>
    <x v="0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x v="1"/>
    <n v="63"/>
    <n v="2"/>
    <n v="2"/>
    <x v="4"/>
    <x v="0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x v="1"/>
    <n v="97"/>
    <n v="3"/>
    <n v="3"/>
    <x v="4"/>
    <x v="3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x v="1"/>
    <n v="32"/>
    <n v="1"/>
    <n v="3"/>
    <x v="0"/>
    <x v="0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x v="1"/>
    <n v="88"/>
    <n v="2"/>
    <n v="3"/>
    <x v="3"/>
    <x v="2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x v="0"/>
    <n v="90"/>
    <n v="3"/>
    <n v="2"/>
    <x v="0"/>
    <x v="2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x v="1"/>
    <n v="81"/>
    <n v="2"/>
    <n v="3"/>
    <x v="7"/>
    <x v="1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x v="0"/>
    <n v="88"/>
    <n v="3"/>
    <n v="1"/>
    <x v="1"/>
    <x v="3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x v="0"/>
    <n v="75"/>
    <n v="3"/>
    <n v="3"/>
    <x v="5"/>
    <x v="0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x v="0"/>
    <n v="52"/>
    <n v="2"/>
    <n v="2"/>
    <x v="0"/>
    <x v="3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x v="1"/>
    <n v="85"/>
    <n v="3"/>
    <n v="1"/>
    <x v="1"/>
    <x v="2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x v="0"/>
    <n v="57"/>
    <n v="2"/>
    <n v="3"/>
    <x v="0"/>
    <x v="0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x v="0"/>
    <n v="52"/>
    <n v="3"/>
    <n v="2"/>
    <x v="0"/>
    <x v="3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x v="1"/>
    <n v="62"/>
    <n v="3"/>
    <n v="2"/>
    <x v="2"/>
    <x v="1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x v="0"/>
    <n v="47"/>
    <n v="2"/>
    <n v="1"/>
    <x v="1"/>
    <x v="1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x v="1"/>
    <n v="47"/>
    <n v="3"/>
    <n v="3"/>
    <x v="7"/>
    <x v="0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x v="1"/>
    <n v="76"/>
    <n v="3"/>
    <n v="3"/>
    <x v="0"/>
    <x v="2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x v="1"/>
    <n v="90"/>
    <n v="1"/>
    <n v="2"/>
    <x v="3"/>
    <x v="2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x v="1"/>
    <n v="70"/>
    <n v="2"/>
    <n v="1"/>
    <x v="1"/>
    <x v="0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x v="1"/>
    <n v="41"/>
    <n v="3"/>
    <n v="1"/>
    <x v="6"/>
    <x v="0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x v="0"/>
    <n v="42"/>
    <n v="3"/>
    <n v="3"/>
    <x v="0"/>
    <x v="0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x v="0"/>
    <n v="92"/>
    <n v="3"/>
    <n v="3"/>
    <x v="0"/>
    <x v="2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x v="1"/>
    <n v="86"/>
    <n v="2"/>
    <n v="1"/>
    <x v="1"/>
    <x v="0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x v="0"/>
    <n v="89"/>
    <n v="2"/>
    <n v="1"/>
    <x v="2"/>
    <x v="0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x v="1"/>
    <n v="58"/>
    <n v="3"/>
    <n v="5"/>
    <x v="5"/>
    <x v="0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x v="1"/>
    <n v="52"/>
    <n v="3"/>
    <n v="1"/>
    <x v="8"/>
    <x v="2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x v="0"/>
    <n v="68"/>
    <n v="3"/>
    <n v="5"/>
    <x v="5"/>
    <x v="0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x v="1"/>
    <n v="58"/>
    <n v="3"/>
    <n v="1"/>
    <x v="2"/>
    <x v="0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x v="0"/>
    <n v="80"/>
    <n v="3"/>
    <n v="4"/>
    <x v="5"/>
    <x v="0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x v="0"/>
    <n v="39"/>
    <n v="3"/>
    <n v="1"/>
    <x v="2"/>
    <x v="3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x v="1"/>
    <n v="79"/>
    <n v="2"/>
    <n v="5"/>
    <x v="5"/>
    <x v="2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x v="0"/>
    <n v="56"/>
    <n v="3"/>
    <n v="1"/>
    <x v="6"/>
    <x v="1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x v="1"/>
    <n v="62"/>
    <n v="2"/>
    <n v="1"/>
    <x v="2"/>
    <x v="2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x v="0"/>
    <n v="96"/>
    <n v="3"/>
    <n v="1"/>
    <x v="2"/>
    <x v="2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x v="1"/>
    <n v="100"/>
    <n v="3"/>
    <n v="2"/>
    <x v="0"/>
    <x v="0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x v="1"/>
    <n v="36"/>
    <n v="3"/>
    <n v="2"/>
    <x v="1"/>
    <x v="3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x v="1"/>
    <n v="62"/>
    <n v="3"/>
    <n v="2"/>
    <x v="1"/>
    <x v="0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x v="1"/>
    <n v="70"/>
    <n v="4"/>
    <n v="5"/>
    <x v="5"/>
    <x v="0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x v="1"/>
    <n v="73"/>
    <n v="3"/>
    <n v="3"/>
    <x v="7"/>
    <x v="2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x v="0"/>
    <n v="63"/>
    <n v="2"/>
    <n v="1"/>
    <x v="1"/>
    <x v="0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x v="1"/>
    <n v="84"/>
    <n v="2"/>
    <n v="2"/>
    <x v="3"/>
    <x v="3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x v="0"/>
    <n v="83"/>
    <n v="2"/>
    <n v="1"/>
    <x v="1"/>
    <x v="3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x v="1"/>
    <n v="77"/>
    <n v="4"/>
    <n v="2"/>
    <x v="3"/>
    <x v="2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x v="1"/>
    <n v="61"/>
    <n v="3"/>
    <n v="3"/>
    <x v="3"/>
    <x v="2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x v="0"/>
    <n v="64"/>
    <n v="3"/>
    <n v="3"/>
    <x v="4"/>
    <x v="2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x v="1"/>
    <n v="60"/>
    <n v="3"/>
    <n v="1"/>
    <x v="1"/>
    <x v="0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x v="0"/>
    <n v="82"/>
    <n v="4"/>
    <n v="2"/>
    <x v="1"/>
    <x v="3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x v="1"/>
    <n v="45"/>
    <n v="3"/>
    <n v="2"/>
    <x v="0"/>
    <x v="0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x v="0"/>
    <n v="62"/>
    <n v="3"/>
    <n v="2"/>
    <x v="3"/>
    <x v="2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x v="0"/>
    <n v="56"/>
    <n v="2"/>
    <n v="1"/>
    <x v="2"/>
    <x v="3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x v="1"/>
    <n v="49"/>
    <n v="3"/>
    <n v="5"/>
    <x v="7"/>
    <x v="2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x v="1"/>
    <n v="96"/>
    <n v="3"/>
    <n v="1"/>
    <x v="1"/>
    <x v="0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x v="1"/>
    <n v="71"/>
    <n v="2"/>
    <n v="1"/>
    <x v="2"/>
    <x v="1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x v="1"/>
    <n v="100"/>
    <n v="4"/>
    <n v="1"/>
    <x v="2"/>
    <x v="1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x v="1"/>
    <n v="39"/>
    <n v="2"/>
    <n v="2"/>
    <x v="0"/>
    <x v="0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x v="1"/>
    <n v="84"/>
    <n v="2"/>
    <n v="2"/>
    <x v="2"/>
    <x v="3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x v="0"/>
    <n v="75"/>
    <n v="1"/>
    <n v="4"/>
    <x v="5"/>
    <x v="1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x v="1"/>
    <n v="79"/>
    <n v="3"/>
    <n v="1"/>
    <x v="2"/>
    <x v="2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x v="1"/>
    <n v="78"/>
    <n v="2"/>
    <n v="2"/>
    <x v="0"/>
    <x v="1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x v="1"/>
    <n v="64"/>
    <n v="2"/>
    <n v="2"/>
    <x v="4"/>
    <x v="0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x v="1"/>
    <n v="85"/>
    <n v="4"/>
    <n v="2"/>
    <x v="4"/>
    <x v="3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x v="1"/>
    <n v="79"/>
    <n v="3"/>
    <n v="4"/>
    <x v="4"/>
    <x v="0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x v="1"/>
    <n v="47"/>
    <n v="3"/>
    <n v="1"/>
    <x v="2"/>
    <x v="0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x v="1"/>
    <n v="81"/>
    <n v="3"/>
    <n v="5"/>
    <x v="5"/>
    <x v="3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x v="1"/>
    <n v="88"/>
    <n v="3"/>
    <n v="3"/>
    <x v="5"/>
    <x v="1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x v="1"/>
    <n v="94"/>
    <n v="3"/>
    <n v="1"/>
    <x v="1"/>
    <x v="0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x v="1"/>
    <n v="98"/>
    <n v="3"/>
    <n v="2"/>
    <x v="0"/>
    <x v="0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x v="1"/>
    <n v="100"/>
    <n v="2"/>
    <n v="1"/>
    <x v="1"/>
    <x v="2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x v="0"/>
    <n v="80"/>
    <n v="3"/>
    <n v="3"/>
    <x v="7"/>
    <x v="0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x v="0"/>
    <n v="71"/>
    <n v="4"/>
    <n v="3"/>
    <x v="5"/>
    <x v="1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x v="0"/>
    <n v="44"/>
    <n v="4"/>
    <n v="2"/>
    <x v="0"/>
    <x v="3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x v="0"/>
    <n v="84"/>
    <n v="3"/>
    <n v="2"/>
    <x v="3"/>
    <x v="1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x v="1"/>
    <n v="96"/>
    <n v="3"/>
    <n v="5"/>
    <x v="7"/>
    <x v="1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x v="1"/>
    <n v="45"/>
    <n v="3"/>
    <n v="4"/>
    <x v="7"/>
    <x v="2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x v="1"/>
    <n v="99"/>
    <n v="3"/>
    <n v="2"/>
    <x v="0"/>
    <x v="2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x v="1"/>
    <n v="44"/>
    <n v="3"/>
    <n v="2"/>
    <x v="0"/>
    <x v="0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x v="1"/>
    <n v="37"/>
    <n v="3"/>
    <n v="2"/>
    <x v="2"/>
    <x v="0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x v="1"/>
    <n v="60"/>
    <n v="3"/>
    <n v="2"/>
    <x v="4"/>
    <x v="3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x v="0"/>
    <n v="42"/>
    <n v="3"/>
    <n v="1"/>
    <x v="1"/>
    <x v="0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x v="1"/>
    <n v="43"/>
    <n v="3"/>
    <n v="1"/>
    <x v="2"/>
    <x v="2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x v="1"/>
    <n v="82"/>
    <n v="3"/>
    <n v="2"/>
    <x v="4"/>
    <x v="0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x v="1"/>
    <n v="45"/>
    <n v="3"/>
    <n v="1"/>
    <x v="2"/>
    <x v="1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x v="0"/>
    <n v="66"/>
    <n v="3"/>
    <n v="1"/>
    <x v="1"/>
    <x v="0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x v="0"/>
    <n v="35"/>
    <n v="3"/>
    <n v="5"/>
    <x v="7"/>
    <x v="3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x v="1"/>
    <n v="30"/>
    <n v="3"/>
    <n v="2"/>
    <x v="1"/>
    <x v="1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x v="0"/>
    <n v="84"/>
    <n v="3"/>
    <n v="1"/>
    <x v="6"/>
    <x v="1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x v="1"/>
    <n v="48"/>
    <n v="2"/>
    <n v="2"/>
    <x v="0"/>
    <x v="0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x v="1"/>
    <n v="53"/>
    <n v="3"/>
    <n v="1"/>
    <x v="1"/>
    <x v="0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x v="0"/>
    <n v="77"/>
    <n v="3"/>
    <n v="4"/>
    <x v="0"/>
    <x v="1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x v="1"/>
    <n v="54"/>
    <n v="3"/>
    <n v="1"/>
    <x v="2"/>
    <x v="2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x v="1"/>
    <n v="96"/>
    <n v="3"/>
    <n v="3"/>
    <x v="0"/>
    <x v="1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x v="1"/>
    <n v="81"/>
    <n v="4"/>
    <n v="1"/>
    <x v="2"/>
    <x v="0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x v="1"/>
    <n v="84"/>
    <n v="1"/>
    <n v="2"/>
    <x v="3"/>
    <x v="1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x v="1"/>
    <n v="88"/>
    <n v="3"/>
    <n v="4"/>
    <x v="5"/>
    <x v="1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x v="0"/>
    <n v="69"/>
    <n v="2"/>
    <n v="1"/>
    <x v="6"/>
    <x v="2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x v="1"/>
    <n v="68"/>
    <n v="4"/>
    <n v="2"/>
    <x v="4"/>
    <x v="3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x v="1"/>
    <n v="100"/>
    <n v="4"/>
    <n v="2"/>
    <x v="0"/>
    <x v="0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x v="1"/>
    <n v="48"/>
    <n v="4"/>
    <n v="3"/>
    <x v="4"/>
    <x v="0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x v="0"/>
    <n v="47"/>
    <n v="3"/>
    <n v="2"/>
    <x v="2"/>
    <x v="1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x v="1"/>
    <n v="91"/>
    <n v="2"/>
    <n v="2"/>
    <x v="0"/>
    <x v="2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x v="0"/>
    <n v="81"/>
    <n v="2"/>
    <n v="3"/>
    <x v="7"/>
    <x v="1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x v="1"/>
    <n v="32"/>
    <n v="1"/>
    <n v="2"/>
    <x v="4"/>
    <x v="2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x v="1"/>
    <n v="86"/>
    <n v="3"/>
    <n v="1"/>
    <x v="1"/>
    <x v="0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x v="1"/>
    <n v="62"/>
    <n v="2"/>
    <n v="2"/>
    <x v="8"/>
    <x v="3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x v="1"/>
    <n v="97"/>
    <n v="3"/>
    <n v="3"/>
    <x v="2"/>
    <x v="3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x v="1"/>
    <n v="32"/>
    <n v="3"/>
    <n v="1"/>
    <x v="1"/>
    <x v="0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x v="0"/>
    <n v="74"/>
    <n v="3"/>
    <n v="3"/>
    <x v="5"/>
    <x v="1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x v="1"/>
    <n v="99"/>
    <n v="3"/>
    <n v="4"/>
    <x v="5"/>
    <x v="3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x v="0"/>
    <n v="33"/>
    <n v="3"/>
    <n v="1"/>
    <x v="2"/>
    <x v="0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x v="0"/>
    <n v="90"/>
    <n v="2"/>
    <n v="4"/>
    <x v="4"/>
    <x v="2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x v="1"/>
    <n v="85"/>
    <n v="2"/>
    <n v="2"/>
    <x v="1"/>
    <x v="1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x v="0"/>
    <n v="85"/>
    <n v="3"/>
    <n v="1"/>
    <x v="1"/>
    <x v="1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x v="0"/>
    <n v="65"/>
    <n v="2"/>
    <n v="2"/>
    <x v="0"/>
    <x v="1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x v="1"/>
    <n v="74"/>
    <n v="3"/>
    <n v="2"/>
    <x v="0"/>
    <x v="2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x v="1"/>
    <n v="73"/>
    <n v="3"/>
    <n v="2"/>
    <x v="0"/>
    <x v="0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x v="0"/>
    <n v="74"/>
    <n v="4"/>
    <n v="2"/>
    <x v="1"/>
    <x v="0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x v="1"/>
    <n v="84"/>
    <n v="1"/>
    <n v="1"/>
    <x v="1"/>
    <x v="0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x v="0"/>
    <n v="64"/>
    <n v="3"/>
    <n v="2"/>
    <x v="1"/>
    <x v="0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x v="0"/>
    <n v="48"/>
    <n v="2"/>
    <n v="3"/>
    <x v="3"/>
    <x v="2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x v="1"/>
    <n v="54"/>
    <n v="2"/>
    <n v="5"/>
    <x v="5"/>
    <x v="0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x v="0"/>
    <n v="41"/>
    <n v="3"/>
    <n v="2"/>
    <x v="0"/>
    <x v="2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x v="1"/>
    <n v="46"/>
    <n v="2"/>
    <n v="2"/>
    <x v="0"/>
    <x v="0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x v="1"/>
    <n v="42"/>
    <n v="3"/>
    <n v="5"/>
    <x v="7"/>
    <x v="2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x v="0"/>
    <n v="82"/>
    <n v="2"/>
    <n v="2"/>
    <x v="2"/>
    <x v="2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x v="1"/>
    <n v="73"/>
    <n v="3"/>
    <n v="2"/>
    <x v="0"/>
    <x v="1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x v="0"/>
    <n v="31"/>
    <n v="3"/>
    <n v="2"/>
    <x v="1"/>
    <x v="2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x v="0"/>
    <n v="43"/>
    <n v="3"/>
    <n v="3"/>
    <x v="4"/>
    <x v="3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x v="1"/>
    <n v="75"/>
    <n v="3"/>
    <n v="2"/>
    <x v="1"/>
    <x v="0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x v="1"/>
    <n v="57"/>
    <n v="1"/>
    <n v="2"/>
    <x v="0"/>
    <x v="0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x v="1"/>
    <n v="77"/>
    <n v="1"/>
    <n v="1"/>
    <x v="2"/>
    <x v="3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x v="1"/>
    <n v="30"/>
    <n v="2"/>
    <n v="1"/>
    <x v="2"/>
    <x v="0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x v="0"/>
    <n v="30"/>
    <n v="2"/>
    <n v="2"/>
    <x v="0"/>
    <x v="2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x v="0"/>
    <n v="56"/>
    <n v="3"/>
    <n v="2"/>
    <x v="0"/>
    <x v="1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x v="1"/>
    <n v="61"/>
    <n v="3"/>
    <n v="2"/>
    <x v="3"/>
    <x v="0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x v="1"/>
    <n v="92"/>
    <n v="2"/>
    <n v="3"/>
    <x v="7"/>
    <x v="0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x v="0"/>
    <n v="39"/>
    <n v="3"/>
    <n v="3"/>
    <x v="3"/>
    <x v="0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x v="0"/>
    <n v="39"/>
    <n v="2"/>
    <n v="2"/>
    <x v="0"/>
    <x v="1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x v="1"/>
    <n v="62"/>
    <n v="3"/>
    <n v="3"/>
    <x v="3"/>
    <x v="1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x v="1"/>
    <n v="83"/>
    <n v="3"/>
    <n v="1"/>
    <x v="1"/>
    <x v="0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x v="1"/>
    <n v="95"/>
    <n v="2"/>
    <n v="2"/>
    <x v="3"/>
    <x v="1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x v="1"/>
    <n v="99"/>
    <n v="3"/>
    <n v="2"/>
    <x v="6"/>
    <x v="2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x v="0"/>
    <n v="44"/>
    <n v="3"/>
    <n v="4"/>
    <x v="7"/>
    <x v="0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x v="1"/>
    <n v="61"/>
    <n v="3"/>
    <n v="2"/>
    <x v="0"/>
    <x v="2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x v="1"/>
    <n v="52"/>
    <n v="3"/>
    <n v="1"/>
    <x v="8"/>
    <x v="2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x v="0"/>
    <n v="75"/>
    <n v="3"/>
    <n v="1"/>
    <x v="2"/>
    <x v="1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x v="0"/>
    <n v="91"/>
    <n v="3"/>
    <n v="3"/>
    <x v="5"/>
    <x v="2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x v="1"/>
    <n v="51"/>
    <n v="4"/>
    <n v="2"/>
    <x v="1"/>
    <x v="3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x v="0"/>
    <n v="85"/>
    <n v="3"/>
    <n v="2"/>
    <x v="0"/>
    <x v="2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x v="1"/>
    <n v="57"/>
    <n v="3"/>
    <n v="2"/>
    <x v="0"/>
    <x v="2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x v="1"/>
    <n v="98"/>
    <n v="2"/>
    <n v="2"/>
    <x v="4"/>
    <x v="0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x v="0"/>
    <n v="99"/>
    <n v="2"/>
    <n v="1"/>
    <x v="6"/>
    <x v="1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x v="0"/>
    <n v="45"/>
    <n v="3"/>
    <n v="2"/>
    <x v="0"/>
    <x v="0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x v="1"/>
    <n v="48"/>
    <n v="2"/>
    <n v="3"/>
    <x v="0"/>
    <x v="0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x v="1"/>
    <n v="88"/>
    <n v="3"/>
    <n v="2"/>
    <x v="4"/>
    <x v="2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x v="0"/>
    <n v="46"/>
    <n v="4"/>
    <n v="1"/>
    <x v="2"/>
    <x v="2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x v="1"/>
    <n v="39"/>
    <n v="3"/>
    <n v="1"/>
    <x v="6"/>
    <x v="0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x v="0"/>
    <n v="34"/>
    <n v="3"/>
    <n v="1"/>
    <x v="6"/>
    <x v="2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x v="0"/>
    <n v="98"/>
    <n v="3"/>
    <n v="1"/>
    <x v="2"/>
    <x v="3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x v="0"/>
    <n v="30"/>
    <n v="3"/>
    <n v="2"/>
    <x v="3"/>
    <x v="2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x v="1"/>
    <n v="56"/>
    <n v="3"/>
    <n v="2"/>
    <x v="0"/>
    <x v="1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x v="1"/>
    <n v="100"/>
    <n v="2"/>
    <n v="3"/>
    <x v="4"/>
    <x v="0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x v="1"/>
    <n v="68"/>
    <n v="2"/>
    <n v="2"/>
    <x v="0"/>
    <x v="2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x v="1"/>
    <n v="42"/>
    <n v="2"/>
    <n v="1"/>
    <x v="1"/>
    <x v="1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x v="0"/>
    <n v="90"/>
    <n v="4"/>
    <n v="1"/>
    <x v="6"/>
    <x v="1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x v="1"/>
    <n v="54"/>
    <n v="3"/>
    <n v="1"/>
    <x v="1"/>
    <x v="0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x v="1"/>
    <n v="97"/>
    <n v="2"/>
    <n v="2"/>
    <x v="4"/>
    <x v="1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x v="1"/>
    <n v="82"/>
    <n v="3"/>
    <n v="1"/>
    <x v="2"/>
    <x v="1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x v="1"/>
    <n v="92"/>
    <n v="3"/>
    <n v="2"/>
    <x v="0"/>
    <x v="0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x v="1"/>
    <n v="31"/>
    <n v="2"/>
    <n v="3"/>
    <x v="4"/>
    <x v="2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x v="0"/>
    <n v="87"/>
    <n v="3"/>
    <n v="2"/>
    <x v="0"/>
    <x v="0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x v="0"/>
    <n v="96"/>
    <n v="3"/>
    <n v="1"/>
    <x v="1"/>
    <x v="2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x v="1"/>
    <n v="67"/>
    <n v="4"/>
    <n v="2"/>
    <x v="0"/>
    <x v="0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x v="0"/>
    <n v="97"/>
    <n v="3"/>
    <n v="4"/>
    <x v="5"/>
    <x v="0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x v="0"/>
    <n v="77"/>
    <n v="3"/>
    <n v="2"/>
    <x v="0"/>
    <x v="2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x v="1"/>
    <n v="72"/>
    <n v="3"/>
    <n v="1"/>
    <x v="6"/>
    <x v="1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x v="1"/>
    <n v="73"/>
    <n v="3"/>
    <n v="1"/>
    <x v="1"/>
    <x v="3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x v="0"/>
    <n v="43"/>
    <n v="3"/>
    <n v="1"/>
    <x v="1"/>
    <x v="1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x v="1"/>
    <n v="61"/>
    <n v="2"/>
    <n v="3"/>
    <x v="0"/>
    <x v="2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x v="1"/>
    <n v="40"/>
    <n v="3"/>
    <n v="1"/>
    <x v="1"/>
    <x v="0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x v="0"/>
    <n v="95"/>
    <n v="3"/>
    <n v="1"/>
    <x v="2"/>
    <x v="3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x v="0"/>
    <n v="46"/>
    <n v="3"/>
    <n v="2"/>
    <x v="0"/>
    <x v="1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x v="0"/>
    <n v="95"/>
    <n v="3"/>
    <n v="1"/>
    <x v="2"/>
    <x v="3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x v="1"/>
    <n v="49"/>
    <n v="3"/>
    <n v="2"/>
    <x v="3"/>
    <x v="1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x v="1"/>
    <n v="59"/>
    <n v="2"/>
    <n v="4"/>
    <x v="7"/>
    <x v="1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x v="0"/>
    <n v="78"/>
    <n v="2"/>
    <n v="2"/>
    <x v="2"/>
    <x v="2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x v="1"/>
    <n v="86"/>
    <n v="3"/>
    <n v="5"/>
    <x v="7"/>
    <x v="3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x v="0"/>
    <n v="72"/>
    <n v="3"/>
    <n v="2"/>
    <x v="0"/>
    <x v="2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x v="0"/>
    <n v="31"/>
    <n v="3"/>
    <n v="2"/>
    <x v="3"/>
    <x v="3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x v="1"/>
    <n v="61"/>
    <n v="3"/>
    <n v="1"/>
    <x v="2"/>
    <x v="0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x v="0"/>
    <n v="74"/>
    <n v="3"/>
    <n v="2"/>
    <x v="4"/>
    <x v="2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x v="0"/>
    <n v="99"/>
    <n v="2"/>
    <n v="2"/>
    <x v="0"/>
    <x v="0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x v="0"/>
    <n v="72"/>
    <n v="3"/>
    <n v="2"/>
    <x v="1"/>
    <x v="2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x v="1"/>
    <n v="98"/>
    <n v="2"/>
    <n v="1"/>
    <x v="2"/>
    <x v="3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x v="1"/>
    <n v="52"/>
    <n v="3"/>
    <n v="5"/>
    <x v="5"/>
    <x v="2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x v="0"/>
    <n v="86"/>
    <n v="4"/>
    <n v="4"/>
    <x v="0"/>
    <x v="3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x v="0"/>
    <n v="83"/>
    <n v="3"/>
    <n v="2"/>
    <x v="0"/>
    <x v="2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x v="1"/>
    <n v="49"/>
    <n v="4"/>
    <n v="3"/>
    <x v="0"/>
    <x v="3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x v="1"/>
    <n v="79"/>
    <n v="3"/>
    <n v="2"/>
    <x v="2"/>
    <x v="3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x v="1"/>
    <n v="91"/>
    <n v="3"/>
    <n v="1"/>
    <x v="2"/>
    <x v="3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x v="1"/>
    <n v="39"/>
    <n v="2"/>
    <n v="3"/>
    <x v="3"/>
    <x v="2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x v="1"/>
    <n v="69"/>
    <n v="3"/>
    <n v="1"/>
    <x v="1"/>
    <x v="0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x v="0"/>
    <n v="30"/>
    <n v="3"/>
    <n v="4"/>
    <x v="5"/>
    <x v="0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x v="0"/>
    <n v="92"/>
    <n v="3"/>
    <n v="2"/>
    <x v="1"/>
    <x v="2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x v="0"/>
    <n v="43"/>
    <n v="1"/>
    <n v="2"/>
    <x v="3"/>
    <x v="0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x v="0"/>
    <n v="41"/>
    <n v="3"/>
    <n v="5"/>
    <x v="5"/>
    <x v="3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x v="0"/>
    <n v="87"/>
    <n v="3"/>
    <n v="2"/>
    <x v="3"/>
    <x v="2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x v="0"/>
    <n v="88"/>
    <n v="2"/>
    <n v="2"/>
    <x v="4"/>
    <x v="0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x v="0"/>
    <n v="62"/>
    <n v="3"/>
    <n v="1"/>
    <x v="6"/>
    <x v="1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x v="0"/>
    <n v="33"/>
    <n v="1"/>
    <n v="1"/>
    <x v="6"/>
    <x v="2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x v="1"/>
    <n v="42"/>
    <n v="3"/>
    <n v="1"/>
    <x v="2"/>
    <x v="0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x v="0"/>
    <n v="79"/>
    <n v="3"/>
    <n v="5"/>
    <x v="5"/>
    <x v="2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x v="0"/>
    <n v="90"/>
    <n v="3"/>
    <n v="1"/>
    <x v="1"/>
    <x v="0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x v="1"/>
    <n v="53"/>
    <n v="3"/>
    <n v="1"/>
    <x v="2"/>
    <x v="0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x v="1"/>
    <n v="93"/>
    <n v="2"/>
    <n v="3"/>
    <x v="7"/>
    <x v="2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x v="0"/>
    <n v="71"/>
    <n v="2"/>
    <n v="1"/>
    <x v="1"/>
    <x v="1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x v="1"/>
    <n v="52"/>
    <n v="2"/>
    <n v="1"/>
    <x v="8"/>
    <x v="0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x v="0"/>
    <n v="69"/>
    <n v="3"/>
    <n v="3"/>
    <x v="0"/>
    <x v="3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x v="1"/>
    <n v="56"/>
    <n v="2"/>
    <n v="4"/>
    <x v="5"/>
    <x v="0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x v="1"/>
    <n v="88"/>
    <n v="2"/>
    <n v="4"/>
    <x v="5"/>
    <x v="2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x v="0"/>
    <n v="49"/>
    <n v="3"/>
    <n v="1"/>
    <x v="2"/>
    <x v="0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x v="0"/>
    <n v="80"/>
    <n v="2"/>
    <n v="3"/>
    <x v="0"/>
    <x v="3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x v="0"/>
    <n v="65"/>
    <n v="3"/>
    <n v="2"/>
    <x v="3"/>
    <x v="0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x v="1"/>
    <n v="51"/>
    <n v="3"/>
    <n v="4"/>
    <x v="7"/>
    <x v="2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x v="1"/>
    <n v="46"/>
    <n v="1"/>
    <n v="1"/>
    <x v="2"/>
    <x v="2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x v="0"/>
    <n v="42"/>
    <n v="3"/>
    <n v="2"/>
    <x v="2"/>
    <x v="2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x v="1"/>
    <n v="62"/>
    <n v="2"/>
    <n v="1"/>
    <x v="1"/>
    <x v="2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x v="0"/>
    <n v="94"/>
    <n v="2"/>
    <n v="3"/>
    <x v="0"/>
    <x v="0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x v="1"/>
    <n v="33"/>
    <n v="3"/>
    <n v="3"/>
    <x v="3"/>
    <x v="1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x v="1"/>
    <n v="56"/>
    <n v="3"/>
    <n v="3"/>
    <x v="5"/>
    <x v="2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x v="1"/>
    <n v="38"/>
    <n v="1"/>
    <n v="1"/>
    <x v="2"/>
    <x v="0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x v="1"/>
    <n v="57"/>
    <n v="3"/>
    <n v="1"/>
    <x v="6"/>
    <x v="1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x v="1"/>
    <n v="72"/>
    <n v="3"/>
    <n v="3"/>
    <x v="4"/>
    <x v="2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x v="1"/>
    <n v="66"/>
    <n v="3"/>
    <n v="3"/>
    <x v="4"/>
    <x v="2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x v="0"/>
    <n v="43"/>
    <n v="3"/>
    <n v="3"/>
    <x v="8"/>
    <x v="3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x v="1"/>
    <n v="97"/>
    <n v="3"/>
    <n v="1"/>
    <x v="2"/>
    <x v="2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x v="1"/>
    <n v="32"/>
    <n v="3"/>
    <n v="3"/>
    <x v="0"/>
    <x v="0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x v="1"/>
    <n v="99"/>
    <n v="2"/>
    <n v="1"/>
    <x v="2"/>
    <x v="2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x v="0"/>
    <n v="37"/>
    <n v="3"/>
    <n v="2"/>
    <x v="0"/>
    <x v="0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x v="0"/>
    <n v="83"/>
    <n v="3"/>
    <n v="4"/>
    <x v="5"/>
    <x v="1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x v="1"/>
    <n v="56"/>
    <n v="3"/>
    <n v="2"/>
    <x v="0"/>
    <x v="0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x v="1"/>
    <n v="85"/>
    <n v="3"/>
    <n v="2"/>
    <x v="0"/>
    <x v="2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x v="0"/>
    <n v="75"/>
    <n v="3"/>
    <n v="4"/>
    <x v="3"/>
    <x v="2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x v="0"/>
    <n v="48"/>
    <n v="3"/>
    <n v="1"/>
    <x v="2"/>
    <x v="2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x v="1"/>
    <n v="77"/>
    <n v="3"/>
    <n v="2"/>
    <x v="0"/>
    <x v="0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x v="1"/>
    <n v="56"/>
    <n v="3"/>
    <n v="3"/>
    <x v="3"/>
    <x v="3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x v="1"/>
    <n v="61"/>
    <n v="3"/>
    <n v="2"/>
    <x v="0"/>
    <x v="1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x v="0"/>
    <n v="58"/>
    <n v="3"/>
    <n v="1"/>
    <x v="8"/>
    <x v="2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x v="1"/>
    <n v="34"/>
    <n v="3"/>
    <n v="2"/>
    <x v="3"/>
    <x v="0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x v="0"/>
    <n v="95"/>
    <n v="4"/>
    <n v="4"/>
    <x v="7"/>
    <x v="2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x v="1"/>
    <n v="44"/>
    <n v="2"/>
    <n v="3"/>
    <x v="5"/>
    <x v="0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x v="1"/>
    <n v="69"/>
    <n v="3"/>
    <n v="1"/>
    <x v="6"/>
    <x v="1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x v="1"/>
    <n v="58"/>
    <n v="1"/>
    <n v="3"/>
    <x v="0"/>
    <x v="3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x v="0"/>
    <n v="62"/>
    <n v="2"/>
    <n v="2"/>
    <x v="4"/>
    <x v="2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x v="1"/>
    <n v="45"/>
    <n v="3"/>
    <n v="2"/>
    <x v="0"/>
    <x v="2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x v="0"/>
    <n v="80"/>
    <n v="3"/>
    <n v="2"/>
    <x v="0"/>
    <x v="2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x v="1"/>
    <n v="74"/>
    <n v="4"/>
    <n v="2"/>
    <x v="0"/>
    <x v="0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x v="1"/>
    <n v="66"/>
    <n v="1"/>
    <n v="1"/>
    <x v="2"/>
    <x v="0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x v="0"/>
    <n v="59"/>
    <n v="3"/>
    <n v="3"/>
    <x v="3"/>
    <x v="0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x v="0"/>
    <n v="86"/>
    <n v="3"/>
    <n v="3"/>
    <x v="4"/>
    <x v="2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x v="0"/>
    <n v="91"/>
    <n v="3"/>
    <n v="4"/>
    <x v="5"/>
    <x v="3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x v="1"/>
    <n v="69"/>
    <n v="3"/>
    <n v="3"/>
    <x v="0"/>
    <x v="1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x v="1"/>
    <n v="78"/>
    <n v="3"/>
    <n v="2"/>
    <x v="1"/>
    <x v="3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x v="1"/>
    <n v="60"/>
    <n v="4"/>
    <n v="2"/>
    <x v="0"/>
    <x v="2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x v="1"/>
    <n v="38"/>
    <n v="3"/>
    <n v="1"/>
    <x v="6"/>
    <x v="0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x v="0"/>
    <n v="76"/>
    <n v="3"/>
    <n v="2"/>
    <x v="4"/>
    <x v="2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x v="0"/>
    <n v="65"/>
    <n v="3"/>
    <n v="2"/>
    <x v="3"/>
    <x v="1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x v="1"/>
    <n v="58"/>
    <n v="2"/>
    <n v="5"/>
    <x v="7"/>
    <x v="2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x v="1"/>
    <n v="89"/>
    <n v="4"/>
    <n v="1"/>
    <x v="1"/>
    <x v="0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x v="1"/>
    <n v="66"/>
    <n v="3"/>
    <n v="2"/>
    <x v="0"/>
    <x v="1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x v="1"/>
    <n v="94"/>
    <n v="2"/>
    <n v="1"/>
    <x v="2"/>
    <x v="1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x v="1"/>
    <n v="99"/>
    <n v="3"/>
    <n v="5"/>
    <x v="5"/>
    <x v="1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x v="1"/>
    <n v="40"/>
    <n v="3"/>
    <n v="1"/>
    <x v="6"/>
    <x v="2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x v="0"/>
    <n v="55"/>
    <n v="3"/>
    <n v="1"/>
    <x v="2"/>
    <x v="2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x v="1"/>
    <n v="74"/>
    <n v="2"/>
    <n v="1"/>
    <x v="6"/>
    <x v="3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x v="1"/>
    <n v="83"/>
    <n v="2"/>
    <n v="1"/>
    <x v="1"/>
    <x v="0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x v="1"/>
    <n v="46"/>
    <n v="3"/>
    <n v="2"/>
    <x v="0"/>
    <x v="3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x v="1"/>
    <n v="54"/>
    <n v="2"/>
    <n v="2"/>
    <x v="2"/>
    <x v="0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x v="1"/>
    <n v="66"/>
    <n v="4"/>
    <n v="2"/>
    <x v="0"/>
    <x v="0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x v="0"/>
    <n v="66"/>
    <n v="2"/>
    <n v="1"/>
    <x v="1"/>
    <x v="2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x v="1"/>
    <n v="75"/>
    <n v="3"/>
    <n v="2"/>
    <x v="0"/>
    <x v="2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x v="0"/>
    <n v="83"/>
    <n v="2"/>
    <n v="1"/>
    <x v="1"/>
    <x v="1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x v="0"/>
    <n v="81"/>
    <n v="3"/>
    <n v="2"/>
    <x v="4"/>
    <x v="0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x v="1"/>
    <n v="50"/>
    <n v="2"/>
    <n v="4"/>
    <x v="7"/>
    <x v="0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x v="0"/>
    <n v="43"/>
    <n v="3"/>
    <n v="1"/>
    <x v="1"/>
    <x v="3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x v="1"/>
    <n v="72"/>
    <n v="3"/>
    <n v="2"/>
    <x v="2"/>
    <x v="2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x v="0"/>
    <n v="40"/>
    <n v="2"/>
    <n v="4"/>
    <x v="5"/>
    <x v="3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x v="0"/>
    <n v="50"/>
    <n v="2"/>
    <n v="2"/>
    <x v="8"/>
    <x v="2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x v="0"/>
    <n v="31"/>
    <n v="3"/>
    <n v="1"/>
    <x v="6"/>
    <x v="2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x v="1"/>
    <n v="85"/>
    <n v="3"/>
    <n v="1"/>
    <x v="6"/>
    <x v="3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x v="1"/>
    <n v="49"/>
    <n v="3"/>
    <n v="1"/>
    <x v="6"/>
    <x v="2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x v="1"/>
    <n v="35"/>
    <n v="3"/>
    <n v="5"/>
    <x v="5"/>
    <x v="0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x v="1"/>
    <n v="69"/>
    <n v="3"/>
    <n v="1"/>
    <x v="1"/>
    <x v="2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x v="1"/>
    <n v="39"/>
    <n v="3"/>
    <n v="2"/>
    <x v="0"/>
    <x v="2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x v="0"/>
    <n v="92"/>
    <n v="3"/>
    <n v="2"/>
    <x v="1"/>
    <x v="0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x v="0"/>
    <n v="71"/>
    <n v="3"/>
    <n v="1"/>
    <x v="1"/>
    <x v="2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x v="0"/>
    <n v="34"/>
    <n v="3"/>
    <n v="2"/>
    <x v="0"/>
    <x v="3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x v="1"/>
    <n v="42"/>
    <n v="3"/>
    <n v="1"/>
    <x v="1"/>
    <x v="0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x v="0"/>
    <n v="100"/>
    <n v="3"/>
    <n v="2"/>
    <x v="0"/>
    <x v="3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x v="0"/>
    <n v="71"/>
    <n v="3"/>
    <n v="1"/>
    <x v="2"/>
    <x v="0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x v="1"/>
    <n v="36"/>
    <n v="3"/>
    <n v="3"/>
    <x v="3"/>
    <x v="2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x v="0"/>
    <n v="62"/>
    <n v="3"/>
    <n v="2"/>
    <x v="0"/>
    <x v="2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x v="1"/>
    <n v="82"/>
    <n v="1"/>
    <n v="2"/>
    <x v="1"/>
    <x v="0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x v="1"/>
    <n v="30"/>
    <n v="3"/>
    <n v="2"/>
    <x v="4"/>
    <x v="0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x v="1"/>
    <n v="88"/>
    <n v="3"/>
    <n v="3"/>
    <x v="8"/>
    <x v="1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x v="1"/>
    <n v="48"/>
    <n v="2"/>
    <n v="2"/>
    <x v="3"/>
    <x v="1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x v="1"/>
    <n v="54"/>
    <n v="2"/>
    <n v="1"/>
    <x v="1"/>
    <x v="0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x v="1"/>
    <n v="32"/>
    <n v="3"/>
    <n v="1"/>
    <x v="1"/>
    <x v="2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x v="1"/>
    <n v="70"/>
    <n v="3"/>
    <n v="1"/>
    <x v="1"/>
    <x v="3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x v="1"/>
    <n v="41"/>
    <n v="2"/>
    <n v="1"/>
    <x v="2"/>
    <x v="2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x v="1"/>
    <n v="58"/>
    <n v="4"/>
    <n v="1"/>
    <x v="1"/>
    <x v="3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x v="1"/>
    <n v="57"/>
    <n v="4"/>
    <n v="2"/>
    <x v="0"/>
    <x v="1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x v="0"/>
    <n v="46"/>
    <n v="2"/>
    <n v="2"/>
    <x v="0"/>
    <x v="0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x v="1"/>
    <n v="76"/>
    <n v="1"/>
    <n v="1"/>
    <x v="1"/>
    <x v="0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x v="1"/>
    <n v="56"/>
    <n v="4"/>
    <n v="2"/>
    <x v="0"/>
    <x v="1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x v="0"/>
    <n v="71"/>
    <n v="4"/>
    <n v="2"/>
    <x v="0"/>
    <x v="0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x v="1"/>
    <n v="80"/>
    <n v="4"/>
    <n v="1"/>
    <x v="1"/>
    <x v="0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x v="1"/>
    <n v="74"/>
    <n v="4"/>
    <n v="1"/>
    <x v="2"/>
    <x v="2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x v="0"/>
    <n v="46"/>
    <n v="2"/>
    <n v="3"/>
    <x v="4"/>
    <x v="1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x v="0"/>
    <n v="65"/>
    <n v="3"/>
    <n v="2"/>
    <x v="0"/>
    <x v="2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x v="0"/>
    <n v="80"/>
    <n v="2"/>
    <n v="2"/>
    <x v="4"/>
    <x v="2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x v="1"/>
    <n v="55"/>
    <n v="3"/>
    <n v="2"/>
    <x v="0"/>
    <x v="0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x v="1"/>
    <n v="50"/>
    <n v="3"/>
    <n v="2"/>
    <x v="0"/>
    <x v="2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x v="0"/>
    <n v="33"/>
    <n v="4"/>
    <n v="2"/>
    <x v="4"/>
    <x v="0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x v="0"/>
    <n v="68"/>
    <n v="3"/>
    <n v="3"/>
    <x v="3"/>
    <x v="3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x v="0"/>
    <n v="39"/>
    <n v="3"/>
    <n v="3"/>
    <x v="7"/>
    <x v="0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x v="1"/>
    <n v="42"/>
    <n v="3"/>
    <n v="2"/>
    <x v="0"/>
    <x v="3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x v="1"/>
    <n v="48"/>
    <n v="2"/>
    <n v="3"/>
    <x v="0"/>
    <x v="3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x v="1"/>
    <n v="59"/>
    <n v="4"/>
    <n v="4"/>
    <x v="7"/>
    <x v="2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x v="1"/>
    <n v="73"/>
    <n v="2"/>
    <n v="5"/>
    <x v="5"/>
    <x v="0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x v="1"/>
    <n v="84"/>
    <n v="3"/>
    <n v="2"/>
    <x v="0"/>
    <x v="3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x v="1"/>
    <n v="32"/>
    <n v="3"/>
    <n v="3"/>
    <x v="3"/>
    <x v="3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x v="1"/>
    <n v="59"/>
    <n v="2"/>
    <n v="5"/>
    <x v="5"/>
    <x v="2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x v="1"/>
    <n v="54"/>
    <n v="3"/>
    <n v="1"/>
    <x v="6"/>
    <x v="1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x v="0"/>
    <n v="67"/>
    <n v="1"/>
    <n v="1"/>
    <x v="1"/>
    <x v="1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x v="0"/>
    <n v="63"/>
    <n v="4"/>
    <n v="3"/>
    <x v="7"/>
    <x v="3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x v="0"/>
    <n v="81"/>
    <n v="3"/>
    <n v="3"/>
    <x v="3"/>
    <x v="2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x v="1"/>
    <n v="49"/>
    <n v="1"/>
    <n v="1"/>
    <x v="2"/>
    <x v="2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x v="0"/>
    <n v="49"/>
    <n v="3"/>
    <n v="4"/>
    <x v="0"/>
    <x v="2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x v="1"/>
    <n v="99"/>
    <n v="3"/>
    <n v="2"/>
    <x v="0"/>
    <x v="0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x v="1"/>
    <n v="99"/>
    <n v="3"/>
    <n v="1"/>
    <x v="6"/>
    <x v="2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x v="1"/>
    <n v="57"/>
    <n v="4"/>
    <n v="1"/>
    <x v="1"/>
    <x v="2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x v="1"/>
    <n v="47"/>
    <n v="2"/>
    <n v="2"/>
    <x v="0"/>
    <x v="0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x v="0"/>
    <n v="96"/>
    <n v="3"/>
    <n v="2"/>
    <x v="4"/>
    <x v="2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x v="1"/>
    <n v="37"/>
    <n v="3"/>
    <n v="1"/>
    <x v="2"/>
    <x v="3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x v="0"/>
    <n v="44"/>
    <n v="4"/>
    <n v="2"/>
    <x v="8"/>
    <x v="1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x v="1"/>
    <n v="81"/>
    <n v="3"/>
    <n v="4"/>
    <x v="4"/>
    <x v="0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x v="0"/>
    <n v="86"/>
    <n v="2"/>
    <n v="1"/>
    <x v="1"/>
    <x v="0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x v="0"/>
    <n v="55"/>
    <n v="2"/>
    <n v="2"/>
    <x v="4"/>
    <x v="3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x v="1"/>
    <n v="83"/>
    <n v="3"/>
    <n v="1"/>
    <x v="6"/>
    <x v="1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x v="1"/>
    <n v="86"/>
    <n v="3"/>
    <n v="2"/>
    <x v="2"/>
    <x v="0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x v="0"/>
    <n v="61"/>
    <n v="3"/>
    <n v="2"/>
    <x v="4"/>
    <x v="3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x v="1"/>
    <n v="80"/>
    <n v="3"/>
    <n v="2"/>
    <x v="2"/>
    <x v="0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x v="1"/>
    <n v="92"/>
    <n v="3"/>
    <n v="1"/>
    <x v="1"/>
    <x v="2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x v="0"/>
    <n v="32"/>
    <n v="3"/>
    <n v="2"/>
    <x v="3"/>
    <x v="3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x v="1"/>
    <n v="31"/>
    <n v="2"/>
    <n v="4"/>
    <x v="5"/>
    <x v="3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x v="1"/>
    <n v="63"/>
    <n v="3"/>
    <n v="1"/>
    <x v="1"/>
    <x v="0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x v="0"/>
    <n v="32"/>
    <n v="3"/>
    <n v="2"/>
    <x v="0"/>
    <x v="0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x v="1"/>
    <n v="46"/>
    <n v="1"/>
    <n v="2"/>
    <x v="6"/>
    <x v="2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x v="1"/>
    <n v="79"/>
    <n v="4"/>
    <n v="1"/>
    <x v="1"/>
    <x v="2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x v="0"/>
    <n v="77"/>
    <n v="4"/>
    <n v="2"/>
    <x v="0"/>
    <x v="2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x v="1"/>
    <n v="60"/>
    <n v="3"/>
    <n v="2"/>
    <x v="0"/>
    <x v="0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x v="1"/>
    <n v="78"/>
    <n v="3"/>
    <n v="5"/>
    <x v="5"/>
    <x v="3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x v="1"/>
    <n v="76"/>
    <n v="2"/>
    <n v="3"/>
    <x v="0"/>
    <x v="3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x v="1"/>
    <n v="41"/>
    <n v="3"/>
    <n v="1"/>
    <x v="1"/>
    <x v="0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x v="0"/>
    <n v="71"/>
    <n v="1"/>
    <n v="1"/>
    <x v="2"/>
    <x v="0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x v="0"/>
    <n v="66"/>
    <n v="3"/>
    <n v="2"/>
    <x v="4"/>
    <x v="2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x v="1"/>
    <n v="38"/>
    <n v="2"/>
    <n v="2"/>
    <x v="0"/>
    <x v="3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x v="0"/>
    <n v="72"/>
    <n v="4"/>
    <n v="1"/>
    <x v="1"/>
    <x v="0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x v="0"/>
    <n v="95"/>
    <n v="3"/>
    <n v="2"/>
    <x v="3"/>
    <x v="3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x v="1"/>
    <n v="84"/>
    <n v="3"/>
    <n v="2"/>
    <x v="0"/>
    <x v="0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x v="0"/>
    <n v="82"/>
    <n v="3"/>
    <n v="1"/>
    <x v="1"/>
    <x v="3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x v="0"/>
    <n v="75"/>
    <n v="4"/>
    <n v="2"/>
    <x v="3"/>
    <x v="3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x v="0"/>
    <n v="86"/>
    <n v="2"/>
    <n v="1"/>
    <x v="1"/>
    <x v="3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x v="0"/>
    <n v="72"/>
    <n v="3"/>
    <n v="1"/>
    <x v="6"/>
    <x v="0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x v="1"/>
    <n v="38"/>
    <n v="1"/>
    <n v="1"/>
    <x v="2"/>
    <x v="2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x v="0"/>
    <n v="38"/>
    <n v="4"/>
    <n v="2"/>
    <x v="4"/>
    <x v="1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x v="0"/>
    <n v="93"/>
    <n v="3"/>
    <n v="2"/>
    <x v="0"/>
    <x v="3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x v="1"/>
    <n v="66"/>
    <n v="3"/>
    <n v="5"/>
    <x v="5"/>
    <x v="0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x v="1"/>
    <n v="63"/>
    <n v="4"/>
    <n v="1"/>
    <x v="2"/>
    <x v="3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x v="1"/>
    <n v="60"/>
    <n v="2"/>
    <n v="1"/>
    <x v="2"/>
    <x v="1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x v="0"/>
    <n v="82"/>
    <n v="3"/>
    <n v="2"/>
    <x v="2"/>
    <x v="2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x v="1"/>
    <n v="64"/>
    <n v="3"/>
    <n v="4"/>
    <x v="7"/>
    <x v="2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x v="0"/>
    <n v="36"/>
    <n v="2"/>
    <n v="1"/>
    <x v="2"/>
    <x v="3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x v="1"/>
    <n v="49"/>
    <n v="3"/>
    <n v="3"/>
    <x v="7"/>
    <x v="2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x v="0"/>
    <n v="69"/>
    <n v="3"/>
    <n v="2"/>
    <x v="0"/>
    <x v="3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x v="0"/>
    <n v="33"/>
    <n v="3"/>
    <n v="4"/>
    <x v="5"/>
    <x v="0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x v="0"/>
    <n v="35"/>
    <n v="3"/>
    <n v="2"/>
    <x v="3"/>
    <x v="1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x v="1"/>
    <n v="81"/>
    <n v="4"/>
    <n v="1"/>
    <x v="1"/>
    <x v="2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x v="1"/>
    <n v="31"/>
    <n v="3"/>
    <n v="5"/>
    <x v="7"/>
    <x v="1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x v="0"/>
    <n v="40"/>
    <n v="4"/>
    <n v="1"/>
    <x v="1"/>
    <x v="2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x v="0"/>
    <n v="43"/>
    <n v="2"/>
    <n v="2"/>
    <x v="3"/>
    <x v="0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x v="1"/>
    <n v="46"/>
    <n v="3"/>
    <n v="1"/>
    <x v="1"/>
    <x v="2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x v="1"/>
    <n v="36"/>
    <n v="3"/>
    <n v="1"/>
    <x v="8"/>
    <x v="1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x v="0"/>
    <n v="98"/>
    <n v="2"/>
    <n v="2"/>
    <x v="3"/>
    <x v="2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x v="1"/>
    <n v="51"/>
    <n v="2"/>
    <n v="2"/>
    <x v="2"/>
    <x v="2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x v="0"/>
    <n v="52"/>
    <n v="2"/>
    <n v="2"/>
    <x v="3"/>
    <x v="0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x v="0"/>
    <n v="95"/>
    <n v="2"/>
    <n v="1"/>
    <x v="1"/>
    <x v="2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x v="1"/>
    <n v="98"/>
    <n v="3"/>
    <n v="2"/>
    <x v="3"/>
    <x v="1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x v="1"/>
    <n v="45"/>
    <n v="2"/>
    <n v="2"/>
    <x v="4"/>
    <x v="3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x v="0"/>
    <n v="100"/>
    <n v="2"/>
    <n v="1"/>
    <x v="1"/>
    <x v="0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x v="0"/>
    <n v="43"/>
    <n v="3"/>
    <n v="3"/>
    <x v="0"/>
    <x v="0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x v="1"/>
    <n v="37"/>
    <n v="3"/>
    <n v="2"/>
    <x v="0"/>
    <x v="0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x v="1"/>
    <n v="94"/>
    <n v="3"/>
    <n v="4"/>
    <x v="7"/>
    <x v="3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x v="1"/>
    <n v="42"/>
    <n v="2"/>
    <n v="3"/>
    <x v="7"/>
    <x v="0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x v="1"/>
    <n v="59"/>
    <n v="3"/>
    <n v="3"/>
    <x v="3"/>
    <x v="2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x v="0"/>
    <n v="81"/>
    <n v="3"/>
    <n v="2"/>
    <x v="0"/>
    <x v="1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x v="1"/>
    <n v="88"/>
    <n v="3"/>
    <n v="1"/>
    <x v="8"/>
    <x v="0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x v="0"/>
    <n v="88"/>
    <n v="2"/>
    <n v="1"/>
    <x v="1"/>
    <x v="2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x v="1"/>
    <n v="50"/>
    <n v="3"/>
    <n v="1"/>
    <x v="1"/>
    <x v="0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x v="0"/>
    <n v="66"/>
    <n v="3"/>
    <n v="4"/>
    <x v="5"/>
    <x v="2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x v="1"/>
    <n v="50"/>
    <n v="3"/>
    <n v="2"/>
    <x v="4"/>
    <x v="1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x v="1"/>
    <n v="65"/>
    <n v="4"/>
    <n v="1"/>
    <x v="1"/>
    <x v="3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x v="1"/>
    <n v="48"/>
    <n v="4"/>
    <n v="2"/>
    <x v="0"/>
    <x v="3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x v="0"/>
    <n v="53"/>
    <n v="2"/>
    <n v="1"/>
    <x v="1"/>
    <x v="3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x v="1"/>
    <n v="56"/>
    <n v="3"/>
    <n v="2"/>
    <x v="0"/>
    <x v="0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x v="1"/>
    <n v="73"/>
    <n v="3"/>
    <n v="2"/>
    <x v="0"/>
    <x v="0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x v="1"/>
    <n v="75"/>
    <n v="2"/>
    <n v="1"/>
    <x v="1"/>
    <x v="0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x v="0"/>
    <n v="78"/>
    <n v="2"/>
    <n v="3"/>
    <x v="0"/>
    <x v="0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x v="1"/>
    <n v="74"/>
    <n v="3"/>
    <n v="3"/>
    <x v="0"/>
    <x v="3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x v="0"/>
    <n v="91"/>
    <n v="4"/>
    <n v="2"/>
    <x v="1"/>
    <x v="2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x v="0"/>
    <n v="81"/>
    <n v="2"/>
    <n v="4"/>
    <x v="3"/>
    <x v="0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x v="1"/>
    <n v="66"/>
    <n v="2"/>
    <n v="2"/>
    <x v="0"/>
    <x v="2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x v="1"/>
    <n v="63"/>
    <n v="2"/>
    <n v="1"/>
    <x v="8"/>
    <x v="0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x v="1"/>
    <n v="33"/>
    <n v="2"/>
    <n v="2"/>
    <x v="3"/>
    <x v="0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x v="1"/>
    <n v="62"/>
    <n v="4"/>
    <n v="1"/>
    <x v="2"/>
    <x v="0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x v="1"/>
    <n v="35"/>
    <n v="3"/>
    <n v="1"/>
    <x v="1"/>
    <x v="0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x v="1"/>
    <n v="77"/>
    <n v="2"/>
    <n v="1"/>
    <x v="8"/>
    <x v="3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x v="1"/>
    <n v="98"/>
    <n v="3"/>
    <n v="2"/>
    <x v="0"/>
    <x v="3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x v="0"/>
    <n v="66"/>
    <n v="2"/>
    <n v="3"/>
    <x v="3"/>
    <x v="2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x v="0"/>
    <n v="96"/>
    <n v="3"/>
    <n v="1"/>
    <x v="1"/>
    <x v="1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x v="1"/>
    <n v="61"/>
    <n v="3"/>
    <n v="1"/>
    <x v="2"/>
    <x v="0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x v="1"/>
    <n v="87"/>
    <n v="2"/>
    <n v="2"/>
    <x v="0"/>
    <x v="3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x v="0"/>
    <n v="36"/>
    <n v="3"/>
    <n v="1"/>
    <x v="1"/>
    <x v="3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x v="1"/>
    <n v="46"/>
    <n v="2"/>
    <n v="1"/>
    <x v="2"/>
    <x v="0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x v="1"/>
    <n v="48"/>
    <n v="3"/>
    <n v="2"/>
    <x v="0"/>
    <x v="1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x v="1"/>
    <n v="98"/>
    <n v="2"/>
    <n v="1"/>
    <x v="6"/>
    <x v="1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x v="0"/>
    <n v="95"/>
    <n v="4"/>
    <n v="2"/>
    <x v="2"/>
    <x v="0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x v="1"/>
    <n v="48"/>
    <n v="3"/>
    <n v="1"/>
    <x v="1"/>
    <x v="0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x v="0"/>
    <n v="48"/>
    <n v="2"/>
    <n v="1"/>
    <x v="6"/>
    <x v="2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x v="1"/>
    <n v="73"/>
    <n v="3"/>
    <n v="4"/>
    <x v="0"/>
    <x v="0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x v="1"/>
    <n v="78"/>
    <n v="2"/>
    <n v="3"/>
    <x v="3"/>
    <x v="1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x v="0"/>
    <n v="54"/>
    <n v="3"/>
    <n v="1"/>
    <x v="6"/>
    <x v="0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x v="0"/>
    <n v="72"/>
    <n v="3"/>
    <n v="4"/>
    <x v="7"/>
    <x v="0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x v="0"/>
    <n v="33"/>
    <n v="3"/>
    <n v="2"/>
    <x v="4"/>
    <x v="0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x v="0"/>
    <n v="35"/>
    <n v="3"/>
    <n v="2"/>
    <x v="0"/>
    <x v="0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x v="1"/>
    <n v="32"/>
    <n v="3"/>
    <n v="3"/>
    <x v="0"/>
    <x v="1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x v="1"/>
    <n v="98"/>
    <n v="3"/>
    <n v="4"/>
    <x v="5"/>
    <x v="3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x v="0"/>
    <n v="42"/>
    <n v="2"/>
    <n v="2"/>
    <x v="8"/>
    <x v="0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x v="1"/>
    <n v="57"/>
    <n v="3"/>
    <n v="1"/>
    <x v="8"/>
    <x v="1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x v="1"/>
    <n v="87"/>
    <n v="3"/>
    <n v="1"/>
    <x v="2"/>
    <x v="0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x v="0"/>
    <n v="62"/>
    <n v="2"/>
    <n v="1"/>
    <x v="2"/>
    <x v="0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x v="1"/>
    <n v="61"/>
    <n v="3"/>
    <n v="1"/>
    <x v="1"/>
    <x v="3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x v="1"/>
    <n v="98"/>
    <n v="3"/>
    <n v="2"/>
    <x v="0"/>
    <x v="0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x v="1"/>
    <n v="57"/>
    <n v="2"/>
    <n v="1"/>
    <x v="2"/>
    <x v="0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x v="0"/>
    <n v="55"/>
    <n v="3"/>
    <n v="2"/>
    <x v="3"/>
    <x v="1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x v="0"/>
    <n v="49"/>
    <n v="2"/>
    <n v="1"/>
    <x v="6"/>
    <x v="2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x v="0"/>
    <n v="65"/>
    <n v="3"/>
    <n v="1"/>
    <x v="1"/>
    <x v="0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x v="1"/>
    <n v="68"/>
    <n v="3"/>
    <n v="2"/>
    <x v="4"/>
    <x v="0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x v="0"/>
    <n v="65"/>
    <n v="2"/>
    <n v="1"/>
    <x v="6"/>
    <x v="0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x v="0"/>
    <n v="34"/>
    <n v="3"/>
    <n v="2"/>
    <x v="3"/>
    <x v="2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x v="0"/>
    <n v="57"/>
    <n v="1"/>
    <n v="1"/>
    <x v="2"/>
    <x v="0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x v="0"/>
    <n v="77"/>
    <n v="3"/>
    <n v="1"/>
    <x v="1"/>
    <x v="2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x v="1"/>
    <n v="70"/>
    <n v="3"/>
    <n v="1"/>
    <x v="2"/>
    <x v="3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x v="0"/>
    <n v="76"/>
    <n v="3"/>
    <n v="1"/>
    <x v="1"/>
    <x v="2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x v="1"/>
    <n v="83"/>
    <n v="3"/>
    <n v="1"/>
    <x v="2"/>
    <x v="1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x v="0"/>
    <n v="68"/>
    <n v="2"/>
    <n v="2"/>
    <x v="0"/>
    <x v="2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x v="1"/>
    <n v="100"/>
    <n v="2"/>
    <n v="1"/>
    <x v="1"/>
    <x v="3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x v="0"/>
    <n v="37"/>
    <n v="2"/>
    <n v="3"/>
    <x v="4"/>
    <x v="1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x v="1"/>
    <n v="41"/>
    <n v="2"/>
    <n v="1"/>
    <x v="6"/>
    <x v="2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x v="0"/>
    <n v="51"/>
    <n v="3"/>
    <n v="2"/>
    <x v="4"/>
    <x v="0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x v="0"/>
    <n v="51"/>
    <n v="3"/>
    <n v="3"/>
    <x v="2"/>
    <x v="1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x v="1"/>
    <n v="51"/>
    <n v="3"/>
    <n v="1"/>
    <x v="1"/>
    <x v="2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x v="0"/>
    <n v="45"/>
    <n v="3"/>
    <n v="2"/>
    <x v="0"/>
    <x v="2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x v="1"/>
    <n v="65"/>
    <n v="3"/>
    <n v="1"/>
    <x v="1"/>
    <x v="0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x v="0"/>
    <n v="80"/>
    <n v="3"/>
    <n v="3"/>
    <x v="7"/>
    <x v="3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x v="0"/>
    <n v="70"/>
    <n v="2"/>
    <n v="1"/>
    <x v="2"/>
    <x v="1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x v="1"/>
    <n v="36"/>
    <n v="2"/>
    <n v="1"/>
    <x v="6"/>
    <x v="1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x v="1"/>
    <n v="67"/>
    <n v="2"/>
    <n v="3"/>
    <x v="0"/>
    <x v="1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x v="1"/>
    <n v="52"/>
    <n v="2"/>
    <n v="2"/>
    <x v="0"/>
    <x v="3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x v="1"/>
    <n v="59"/>
    <n v="3"/>
    <n v="1"/>
    <x v="2"/>
    <x v="3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x v="1"/>
    <n v="79"/>
    <n v="3"/>
    <n v="1"/>
    <x v="2"/>
    <x v="2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x v="1"/>
    <n v="37"/>
    <n v="2"/>
    <n v="1"/>
    <x v="6"/>
    <x v="1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x v="1"/>
    <n v="84"/>
    <n v="3"/>
    <n v="1"/>
    <x v="2"/>
    <x v="3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x v="0"/>
    <n v="41"/>
    <n v="3"/>
    <n v="2"/>
    <x v="4"/>
    <x v="0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x v="1"/>
    <n v="35"/>
    <n v="3"/>
    <n v="1"/>
    <x v="1"/>
    <x v="1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x v="0"/>
    <n v="93"/>
    <n v="3"/>
    <n v="2"/>
    <x v="3"/>
    <x v="3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x v="1"/>
    <n v="51"/>
    <n v="2"/>
    <n v="3"/>
    <x v="0"/>
    <x v="0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x v="0"/>
    <n v="42"/>
    <n v="2"/>
    <n v="2"/>
    <x v="4"/>
    <x v="0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x v="1"/>
    <n v="46"/>
    <n v="2"/>
    <n v="3"/>
    <x v="0"/>
    <x v="2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x v="1"/>
    <n v="57"/>
    <n v="3"/>
    <n v="2"/>
    <x v="2"/>
    <x v="1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x v="0"/>
    <n v="84"/>
    <n v="3"/>
    <n v="1"/>
    <x v="6"/>
    <x v="0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x v="0"/>
    <n v="86"/>
    <n v="3"/>
    <n v="2"/>
    <x v="0"/>
    <x v="2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x v="1"/>
    <n v="70"/>
    <n v="3"/>
    <n v="4"/>
    <x v="5"/>
    <x v="0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x v="1"/>
    <n v="51"/>
    <n v="3"/>
    <n v="1"/>
    <x v="1"/>
    <x v="2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x v="1"/>
    <n v="45"/>
    <n v="3"/>
    <n v="4"/>
    <x v="5"/>
    <x v="2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x v="1"/>
    <n v="62"/>
    <n v="3"/>
    <n v="3"/>
    <x v="0"/>
    <x v="2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x v="0"/>
    <n v="85"/>
    <n v="3"/>
    <n v="2"/>
    <x v="0"/>
    <x v="0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x v="1"/>
    <n v="92"/>
    <n v="3"/>
    <n v="3"/>
    <x v="0"/>
    <x v="0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x v="1"/>
    <n v="41"/>
    <n v="4"/>
    <n v="3"/>
    <x v="0"/>
    <x v="2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x v="0"/>
    <n v="100"/>
    <n v="4"/>
    <n v="4"/>
    <x v="0"/>
    <x v="1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x v="1"/>
    <n v="64"/>
    <n v="4"/>
    <n v="2"/>
    <x v="3"/>
    <x v="2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x v="1"/>
    <n v="84"/>
    <n v="3"/>
    <n v="2"/>
    <x v="0"/>
    <x v="0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x v="1"/>
    <n v="46"/>
    <n v="2"/>
    <n v="1"/>
    <x v="1"/>
    <x v="3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x v="1"/>
    <n v="38"/>
    <n v="3"/>
    <n v="4"/>
    <x v="5"/>
    <x v="2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x v="0"/>
    <n v="92"/>
    <n v="2"/>
    <n v="1"/>
    <x v="1"/>
    <x v="3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x v="0"/>
    <n v="53"/>
    <n v="3"/>
    <n v="1"/>
    <x v="1"/>
    <x v="0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x v="0"/>
    <n v="91"/>
    <n v="3"/>
    <n v="1"/>
    <x v="2"/>
    <x v="0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x v="1"/>
    <n v="66"/>
    <n v="3"/>
    <n v="4"/>
    <x v="7"/>
    <x v="0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x v="0"/>
    <n v="84"/>
    <n v="4"/>
    <n v="2"/>
    <x v="4"/>
    <x v="1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x v="1"/>
    <n v="64"/>
    <n v="3"/>
    <n v="5"/>
    <x v="7"/>
    <x v="2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x v="0"/>
    <n v="37"/>
    <n v="3"/>
    <n v="1"/>
    <x v="2"/>
    <x v="1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x v="1"/>
    <n v="42"/>
    <n v="3"/>
    <n v="2"/>
    <x v="2"/>
    <x v="3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x v="0"/>
    <n v="83"/>
    <n v="3"/>
    <n v="2"/>
    <x v="0"/>
    <x v="0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x v="0"/>
    <n v="48"/>
    <n v="3"/>
    <n v="1"/>
    <x v="1"/>
    <x v="2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x v="1"/>
    <n v="95"/>
    <n v="3"/>
    <n v="4"/>
    <x v="3"/>
    <x v="2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x v="1"/>
    <n v="66"/>
    <n v="3"/>
    <n v="1"/>
    <x v="1"/>
    <x v="2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x v="1"/>
    <n v="75"/>
    <n v="3"/>
    <n v="3"/>
    <x v="3"/>
    <x v="2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x v="0"/>
    <n v="41"/>
    <n v="2"/>
    <n v="2"/>
    <x v="3"/>
    <x v="2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x v="1"/>
    <n v="39"/>
    <n v="2"/>
    <n v="1"/>
    <x v="2"/>
    <x v="1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x v="0"/>
    <n v="96"/>
    <n v="3"/>
    <n v="2"/>
    <x v="3"/>
    <x v="3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x v="1"/>
    <n v="73"/>
    <n v="3"/>
    <n v="1"/>
    <x v="1"/>
    <x v="0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x v="0"/>
    <n v="56"/>
    <n v="3"/>
    <n v="3"/>
    <x v="3"/>
    <x v="2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x v="0"/>
    <n v="57"/>
    <n v="3"/>
    <n v="3"/>
    <x v="4"/>
    <x v="2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x v="0"/>
    <n v="73"/>
    <n v="4"/>
    <n v="3"/>
    <x v="7"/>
    <x v="3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x v="0"/>
    <n v="98"/>
    <n v="2"/>
    <n v="1"/>
    <x v="1"/>
    <x v="3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x v="0"/>
    <n v="60"/>
    <n v="3"/>
    <n v="1"/>
    <x v="2"/>
    <x v="1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x v="1"/>
    <n v="32"/>
    <n v="4"/>
    <n v="2"/>
    <x v="3"/>
    <x v="0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x v="1"/>
    <n v="94"/>
    <n v="1"/>
    <n v="1"/>
    <x v="2"/>
    <x v="3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x v="1"/>
    <n v="97"/>
    <n v="2"/>
    <n v="2"/>
    <x v="4"/>
    <x v="2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x v="1"/>
    <n v="78"/>
    <n v="2"/>
    <n v="3"/>
    <x v="4"/>
    <x v="2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x v="0"/>
    <n v="42"/>
    <n v="3"/>
    <n v="2"/>
    <x v="3"/>
    <x v="2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x v="0"/>
    <n v="65"/>
    <n v="2"/>
    <n v="4"/>
    <x v="3"/>
    <x v="0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x v="0"/>
    <n v="47"/>
    <n v="3"/>
    <n v="2"/>
    <x v="3"/>
    <x v="0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x v="1"/>
    <n v="45"/>
    <n v="3"/>
    <n v="1"/>
    <x v="2"/>
    <x v="0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x v="1"/>
    <n v="90"/>
    <n v="3"/>
    <n v="5"/>
    <x v="5"/>
    <x v="2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x v="1"/>
    <n v="64"/>
    <n v="3"/>
    <n v="1"/>
    <x v="2"/>
    <x v="0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x v="0"/>
    <n v="69"/>
    <n v="2"/>
    <n v="4"/>
    <x v="3"/>
    <x v="0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x v="0"/>
    <n v="61"/>
    <n v="1"/>
    <n v="2"/>
    <x v="4"/>
    <x v="1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x v="1"/>
    <n v="62"/>
    <n v="3"/>
    <n v="2"/>
    <x v="4"/>
    <x v="1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x v="0"/>
    <n v="55"/>
    <n v="1"/>
    <n v="5"/>
    <x v="7"/>
    <x v="2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x v="1"/>
    <n v="42"/>
    <n v="3"/>
    <n v="2"/>
    <x v="0"/>
    <x v="0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x v="1"/>
    <n v="79"/>
    <n v="1"/>
    <n v="2"/>
    <x v="0"/>
    <x v="3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x v="0"/>
    <n v="57"/>
    <n v="1"/>
    <n v="5"/>
    <x v="5"/>
    <x v="0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x v="0"/>
    <n v="53"/>
    <n v="4"/>
    <n v="4"/>
    <x v="0"/>
    <x v="0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x v="0"/>
    <n v="95"/>
    <n v="3"/>
    <n v="2"/>
    <x v="0"/>
    <x v="2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x v="0"/>
    <n v="43"/>
    <n v="4"/>
    <n v="1"/>
    <x v="2"/>
    <x v="3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x v="0"/>
    <n v="82"/>
    <n v="3"/>
    <n v="3"/>
    <x v="3"/>
    <x v="3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x v="0"/>
    <n v="88"/>
    <n v="2"/>
    <n v="1"/>
    <x v="6"/>
    <x v="0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x v="0"/>
    <n v="90"/>
    <n v="3"/>
    <n v="4"/>
    <x v="5"/>
    <x v="0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x v="0"/>
    <n v="69"/>
    <n v="3"/>
    <n v="1"/>
    <x v="2"/>
    <x v="2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x v="1"/>
    <n v="75"/>
    <n v="4"/>
    <n v="2"/>
    <x v="0"/>
    <x v="0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x v="1"/>
    <n v="66"/>
    <n v="3"/>
    <n v="3"/>
    <x v="5"/>
    <x v="0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x v="1"/>
    <n v="36"/>
    <n v="3"/>
    <n v="1"/>
    <x v="8"/>
    <x v="1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x v="0"/>
    <n v="38"/>
    <n v="2"/>
    <n v="3"/>
    <x v="0"/>
    <x v="1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x v="1"/>
    <n v="81"/>
    <n v="3"/>
    <n v="2"/>
    <x v="2"/>
    <x v="2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x v="1"/>
    <n v="57"/>
    <n v="3"/>
    <n v="1"/>
    <x v="1"/>
    <x v="3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x v="0"/>
    <n v="87"/>
    <n v="3"/>
    <n v="1"/>
    <x v="6"/>
    <x v="2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x v="1"/>
    <n v="74"/>
    <n v="3"/>
    <n v="1"/>
    <x v="6"/>
    <x v="1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x v="1"/>
    <n v="44"/>
    <n v="3"/>
    <n v="1"/>
    <x v="1"/>
    <x v="2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x v="1"/>
    <n v="62"/>
    <n v="3"/>
    <n v="5"/>
    <x v="7"/>
    <x v="2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x v="0"/>
    <n v="35"/>
    <n v="3"/>
    <n v="2"/>
    <x v="4"/>
    <x v="1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x v="1"/>
    <n v="74"/>
    <n v="3"/>
    <n v="2"/>
    <x v="0"/>
    <x v="3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x v="0"/>
    <n v="66"/>
    <n v="2"/>
    <n v="1"/>
    <x v="1"/>
    <x v="2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x v="1"/>
    <n v="40"/>
    <n v="3"/>
    <n v="5"/>
    <x v="7"/>
    <x v="0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x v="0"/>
    <n v="41"/>
    <n v="2"/>
    <n v="3"/>
    <x v="0"/>
    <x v="2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x v="0"/>
    <n v="63"/>
    <n v="3"/>
    <n v="1"/>
    <x v="1"/>
    <x v="2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x v="0"/>
    <n v="51"/>
    <n v="2"/>
    <n v="3"/>
    <x v="3"/>
    <x v="0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x v="1"/>
    <n v="40"/>
    <n v="2"/>
    <n v="4"/>
    <x v="5"/>
    <x v="3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x v="1"/>
    <n v="79"/>
    <n v="2"/>
    <n v="3"/>
    <x v="0"/>
    <x v="0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x v="0"/>
    <n v="54"/>
    <n v="3"/>
    <n v="1"/>
    <x v="6"/>
    <x v="0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x v="0"/>
    <n v="36"/>
    <n v="2"/>
    <n v="1"/>
    <x v="2"/>
    <x v="3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x v="0"/>
    <n v="74"/>
    <n v="2"/>
    <n v="2"/>
    <x v="1"/>
    <x v="3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x v="1"/>
    <n v="34"/>
    <n v="3"/>
    <n v="1"/>
    <x v="1"/>
    <x v="2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x v="1"/>
    <n v="72"/>
    <n v="2"/>
    <n v="3"/>
    <x v="4"/>
    <x v="3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x v="1"/>
    <n v="59"/>
    <n v="2"/>
    <n v="1"/>
    <x v="2"/>
    <x v="3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x v="1"/>
    <n v="85"/>
    <n v="3"/>
    <n v="2"/>
    <x v="3"/>
    <x v="3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x v="0"/>
    <n v="43"/>
    <n v="4"/>
    <n v="1"/>
    <x v="1"/>
    <x v="2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x v="0"/>
    <n v="65"/>
    <n v="2"/>
    <n v="3"/>
    <x v="4"/>
    <x v="2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x v="1"/>
    <n v="61"/>
    <n v="3"/>
    <n v="3"/>
    <x v="4"/>
    <x v="0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x v="1"/>
    <n v="87"/>
    <n v="1"/>
    <n v="1"/>
    <x v="2"/>
    <x v="2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x v="1"/>
    <n v="65"/>
    <n v="3"/>
    <n v="3"/>
    <x v="3"/>
    <x v="1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x v="0"/>
    <n v="59"/>
    <n v="3"/>
    <n v="2"/>
    <x v="1"/>
    <x v="2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x v="1"/>
    <n v="91"/>
    <n v="2"/>
    <n v="3"/>
    <x v="8"/>
    <x v="3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x v="1"/>
    <n v="34"/>
    <n v="2"/>
    <n v="3"/>
    <x v="4"/>
    <x v="0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x v="1"/>
    <n v="86"/>
    <n v="3"/>
    <n v="3"/>
    <x v="0"/>
    <x v="3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x v="0"/>
    <n v="54"/>
    <n v="2"/>
    <n v="2"/>
    <x v="1"/>
    <x v="2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x v="1"/>
    <n v="50"/>
    <n v="3"/>
    <n v="1"/>
    <x v="2"/>
    <x v="2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x v="1"/>
    <n v="45"/>
    <n v="3"/>
    <n v="2"/>
    <x v="4"/>
    <x v="0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x v="0"/>
    <n v="88"/>
    <n v="2"/>
    <n v="2"/>
    <x v="0"/>
    <x v="0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x v="1"/>
    <n v="32"/>
    <n v="3"/>
    <n v="1"/>
    <x v="2"/>
    <x v="0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x v="1"/>
    <n v="37"/>
    <n v="3"/>
    <n v="1"/>
    <x v="2"/>
    <x v="2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x v="1"/>
    <n v="55"/>
    <n v="2"/>
    <n v="1"/>
    <x v="1"/>
    <x v="1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x v="1"/>
    <n v="35"/>
    <n v="3"/>
    <n v="4"/>
    <x v="5"/>
    <x v="3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x v="1"/>
    <n v="45"/>
    <n v="2"/>
    <n v="1"/>
    <x v="2"/>
    <x v="1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x v="1"/>
    <n v="81"/>
    <n v="3"/>
    <n v="2"/>
    <x v="0"/>
    <x v="2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x v="0"/>
    <n v="30"/>
    <n v="3"/>
    <n v="2"/>
    <x v="0"/>
    <x v="1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x v="1"/>
    <n v="40"/>
    <n v="2"/>
    <n v="1"/>
    <x v="1"/>
    <x v="0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x v="1"/>
    <n v="35"/>
    <n v="4"/>
    <n v="4"/>
    <x v="5"/>
    <x v="0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x v="0"/>
    <n v="65"/>
    <n v="2"/>
    <n v="2"/>
    <x v="0"/>
    <x v="2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x v="1"/>
    <n v="87"/>
    <n v="3"/>
    <n v="3"/>
    <x v="4"/>
    <x v="1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x v="1"/>
    <n v="73"/>
    <n v="2"/>
    <n v="3"/>
    <x v="0"/>
    <x v="2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x v="0"/>
    <n v="93"/>
    <n v="3"/>
    <n v="1"/>
    <x v="1"/>
    <x v="0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x v="0"/>
    <n v="93"/>
    <n v="3"/>
    <n v="3"/>
    <x v="3"/>
    <x v="1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x v="1"/>
    <n v="52"/>
    <n v="3"/>
    <n v="4"/>
    <x v="5"/>
    <x v="2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x v="1"/>
    <n v="32"/>
    <n v="3"/>
    <n v="3"/>
    <x v="0"/>
    <x v="1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x v="0"/>
    <n v="83"/>
    <n v="3"/>
    <n v="3"/>
    <x v="3"/>
    <x v="3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x v="1"/>
    <n v="84"/>
    <n v="3"/>
    <n v="4"/>
    <x v="4"/>
    <x v="0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x v="1"/>
    <n v="44"/>
    <n v="2"/>
    <n v="5"/>
    <x v="7"/>
    <x v="2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x v="0"/>
    <n v="70"/>
    <n v="2"/>
    <n v="1"/>
    <x v="1"/>
    <x v="1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x v="1"/>
    <n v="70"/>
    <n v="3"/>
    <n v="2"/>
    <x v="2"/>
    <x v="1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x v="1"/>
    <n v="78"/>
    <n v="3"/>
    <n v="2"/>
    <x v="3"/>
    <x v="0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x v="1"/>
    <n v="67"/>
    <n v="4"/>
    <n v="1"/>
    <x v="6"/>
    <x v="0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x v="1"/>
    <n v="67"/>
    <n v="2"/>
    <n v="1"/>
    <x v="1"/>
    <x v="1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x v="1"/>
    <n v="54"/>
    <n v="3"/>
    <n v="2"/>
    <x v="0"/>
    <x v="0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x v="1"/>
    <n v="56"/>
    <n v="2"/>
    <n v="4"/>
    <x v="0"/>
    <x v="1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x v="1"/>
    <n v="95"/>
    <n v="3"/>
    <n v="2"/>
    <x v="3"/>
    <x v="2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x v="0"/>
    <n v="61"/>
    <n v="3"/>
    <n v="1"/>
    <x v="1"/>
    <x v="1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x v="1"/>
    <n v="56"/>
    <n v="1"/>
    <n v="2"/>
    <x v="2"/>
    <x v="0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x v="1"/>
    <n v="79"/>
    <n v="2"/>
    <n v="2"/>
    <x v="3"/>
    <x v="0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x v="1"/>
    <n v="37"/>
    <n v="4"/>
    <n v="1"/>
    <x v="8"/>
    <x v="2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x v="1"/>
    <n v="39"/>
    <n v="2"/>
    <n v="1"/>
    <x v="1"/>
    <x v="2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x v="1"/>
    <n v="80"/>
    <n v="3"/>
    <n v="1"/>
    <x v="2"/>
    <x v="2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x v="0"/>
    <n v="77"/>
    <n v="3"/>
    <n v="2"/>
    <x v="0"/>
    <x v="3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x v="1"/>
    <n v="46"/>
    <n v="3"/>
    <n v="1"/>
    <x v="2"/>
    <x v="0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x v="1"/>
    <n v="72"/>
    <n v="3"/>
    <n v="1"/>
    <x v="2"/>
    <x v="2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x v="0"/>
    <n v="52"/>
    <n v="2"/>
    <n v="2"/>
    <x v="4"/>
    <x v="0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x v="1"/>
    <n v="55"/>
    <n v="2"/>
    <n v="1"/>
    <x v="1"/>
    <x v="2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x v="0"/>
    <n v="70"/>
    <n v="3"/>
    <n v="2"/>
    <x v="0"/>
    <x v="2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x v="1"/>
    <n v="100"/>
    <n v="3"/>
    <n v="1"/>
    <x v="8"/>
    <x v="2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x v="0"/>
    <n v="45"/>
    <n v="2"/>
    <n v="3"/>
    <x v="0"/>
    <x v="3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x v="0"/>
    <n v="88"/>
    <n v="3"/>
    <n v="3"/>
    <x v="7"/>
    <x v="2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x v="1"/>
    <n v="44"/>
    <n v="3"/>
    <n v="4"/>
    <x v="0"/>
    <x v="3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x v="1"/>
    <n v="45"/>
    <n v="3"/>
    <n v="2"/>
    <x v="0"/>
    <x v="3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x v="1"/>
    <n v="58"/>
    <n v="2"/>
    <n v="1"/>
    <x v="2"/>
    <x v="2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x v="1"/>
    <n v="49"/>
    <n v="3"/>
    <n v="1"/>
    <x v="2"/>
    <x v="1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x v="0"/>
    <n v="79"/>
    <n v="3"/>
    <n v="1"/>
    <x v="2"/>
    <x v="0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x v="1"/>
    <n v="82"/>
    <n v="4"/>
    <n v="1"/>
    <x v="2"/>
    <x v="0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x v="1"/>
    <n v="72"/>
    <n v="2"/>
    <n v="2"/>
    <x v="0"/>
    <x v="2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x v="0"/>
    <n v="92"/>
    <n v="2"/>
    <n v="2"/>
    <x v="1"/>
    <x v="0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x v="1"/>
    <n v="44"/>
    <n v="2"/>
    <n v="3"/>
    <x v="3"/>
    <x v="1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x v="1"/>
    <n v="97"/>
    <n v="2"/>
    <n v="2"/>
    <x v="4"/>
    <x v="3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x v="1"/>
    <n v="47"/>
    <n v="2"/>
    <n v="1"/>
    <x v="2"/>
    <x v="0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x v="0"/>
    <n v="85"/>
    <n v="1"/>
    <n v="2"/>
    <x v="0"/>
    <x v="2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x v="0"/>
    <n v="76"/>
    <n v="3"/>
    <n v="1"/>
    <x v="6"/>
    <x v="3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x v="0"/>
    <n v="92"/>
    <n v="3"/>
    <n v="5"/>
    <x v="5"/>
    <x v="3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x v="0"/>
    <n v="54"/>
    <n v="3"/>
    <n v="1"/>
    <x v="2"/>
    <x v="0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x v="1"/>
    <n v="54"/>
    <n v="3"/>
    <n v="1"/>
    <x v="1"/>
    <x v="3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x v="0"/>
    <n v="83"/>
    <n v="3"/>
    <n v="1"/>
    <x v="1"/>
    <x v="2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x v="0"/>
    <n v="56"/>
    <n v="2"/>
    <n v="2"/>
    <x v="3"/>
    <x v="0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x v="1"/>
    <n v="87"/>
    <n v="2"/>
    <n v="1"/>
    <x v="2"/>
    <x v="2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x v="1"/>
    <n v="96"/>
    <n v="3"/>
    <n v="1"/>
    <x v="1"/>
    <x v="2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x v="0"/>
    <n v="50"/>
    <n v="3"/>
    <n v="5"/>
    <x v="5"/>
    <x v="2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x v="0"/>
    <n v="69"/>
    <n v="1"/>
    <n v="1"/>
    <x v="1"/>
    <x v="0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x v="1"/>
    <n v="48"/>
    <n v="2"/>
    <n v="1"/>
    <x v="1"/>
    <x v="0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x v="0"/>
    <n v="69"/>
    <n v="3"/>
    <n v="4"/>
    <x v="5"/>
    <x v="3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x v="1"/>
    <n v="74"/>
    <n v="1"/>
    <n v="1"/>
    <x v="1"/>
    <x v="2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x v="1"/>
    <n v="99"/>
    <n v="3"/>
    <n v="1"/>
    <x v="8"/>
    <x v="2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x v="1"/>
    <n v="95"/>
    <n v="2"/>
    <n v="1"/>
    <x v="1"/>
    <x v="3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x v="1"/>
    <n v="61"/>
    <n v="3"/>
    <n v="2"/>
    <x v="0"/>
    <x v="3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x v="1"/>
    <n v="62"/>
    <n v="3"/>
    <n v="2"/>
    <x v="0"/>
    <x v="1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x v="0"/>
    <n v="30"/>
    <n v="3"/>
    <n v="4"/>
    <x v="5"/>
    <x v="3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x v="1"/>
    <n v="78"/>
    <n v="2"/>
    <n v="1"/>
    <x v="2"/>
    <x v="3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x v="1"/>
    <n v="52"/>
    <n v="3"/>
    <n v="5"/>
    <x v="7"/>
    <x v="1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x v="1"/>
    <n v="94"/>
    <n v="3"/>
    <n v="2"/>
    <x v="0"/>
    <x v="3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x v="0"/>
    <n v="97"/>
    <n v="3"/>
    <n v="1"/>
    <x v="2"/>
    <x v="1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x v="0"/>
    <n v="82"/>
    <n v="3"/>
    <n v="2"/>
    <x v="0"/>
    <x v="2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x v="1"/>
    <n v="60"/>
    <n v="1"/>
    <n v="1"/>
    <x v="2"/>
    <x v="2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x v="1"/>
    <n v="49"/>
    <n v="3"/>
    <n v="2"/>
    <x v="2"/>
    <x v="2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x v="1"/>
    <n v="32"/>
    <n v="3"/>
    <n v="2"/>
    <x v="1"/>
    <x v="0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x v="1"/>
    <n v="43"/>
    <n v="4"/>
    <n v="1"/>
    <x v="6"/>
    <x v="0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x v="1"/>
    <n v="60"/>
    <n v="3"/>
    <n v="2"/>
    <x v="3"/>
    <x v="0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x v="1"/>
    <n v="79"/>
    <n v="4"/>
    <n v="2"/>
    <x v="8"/>
    <x v="3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x v="1"/>
    <n v="52"/>
    <n v="4"/>
    <n v="2"/>
    <x v="0"/>
    <x v="0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x v="0"/>
    <n v="77"/>
    <n v="2"/>
    <n v="1"/>
    <x v="2"/>
    <x v="1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x v="0"/>
    <n v="38"/>
    <n v="3"/>
    <n v="2"/>
    <x v="1"/>
    <x v="2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x v="0"/>
    <n v="77"/>
    <n v="1"/>
    <n v="3"/>
    <x v="3"/>
    <x v="3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x v="1"/>
    <n v="60"/>
    <n v="3"/>
    <n v="1"/>
    <x v="1"/>
    <x v="0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x v="0"/>
    <n v="84"/>
    <n v="2"/>
    <n v="2"/>
    <x v="0"/>
    <x v="1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x v="1"/>
    <n v="57"/>
    <n v="3"/>
    <n v="2"/>
    <x v="0"/>
    <x v="0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x v="1"/>
    <n v="63"/>
    <n v="3"/>
    <n v="1"/>
    <x v="1"/>
    <x v="1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x v="0"/>
    <n v="60"/>
    <n v="3"/>
    <n v="3"/>
    <x v="7"/>
    <x v="3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x v="0"/>
    <n v="78"/>
    <n v="2"/>
    <n v="3"/>
    <x v="0"/>
    <x v="0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x v="1"/>
    <n v="42"/>
    <n v="3"/>
    <n v="1"/>
    <x v="1"/>
    <x v="3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x v="0"/>
    <n v="53"/>
    <n v="3"/>
    <n v="3"/>
    <x v="3"/>
    <x v="2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x v="0"/>
    <n v="72"/>
    <n v="4"/>
    <n v="1"/>
    <x v="1"/>
    <x v="0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x v="0"/>
    <n v="96"/>
    <n v="2"/>
    <n v="1"/>
    <x v="1"/>
    <x v="1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x v="0"/>
    <n v="97"/>
    <n v="3"/>
    <n v="1"/>
    <x v="1"/>
    <x v="0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x v="1"/>
    <n v="85"/>
    <n v="3"/>
    <n v="4"/>
    <x v="7"/>
    <x v="0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x v="1"/>
    <n v="80"/>
    <n v="3"/>
    <n v="2"/>
    <x v="4"/>
    <x v="3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x v="0"/>
    <n v="96"/>
    <n v="2"/>
    <n v="2"/>
    <x v="4"/>
    <x v="3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x v="0"/>
    <n v="48"/>
    <n v="2"/>
    <n v="2"/>
    <x v="0"/>
    <x v="0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x v="1"/>
    <n v="96"/>
    <n v="1"/>
    <n v="5"/>
    <x v="7"/>
    <x v="0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x v="1"/>
    <n v="85"/>
    <n v="2"/>
    <n v="5"/>
    <x v="5"/>
    <x v="2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x v="1"/>
    <n v="46"/>
    <n v="3"/>
    <n v="1"/>
    <x v="1"/>
    <x v="1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x v="1"/>
    <n v="76"/>
    <n v="4"/>
    <n v="1"/>
    <x v="2"/>
    <x v="1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x v="1"/>
    <n v="76"/>
    <n v="3"/>
    <n v="1"/>
    <x v="1"/>
    <x v="2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x v="1"/>
    <n v="82"/>
    <n v="3"/>
    <n v="2"/>
    <x v="4"/>
    <x v="0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x v="1"/>
    <n v="76"/>
    <n v="2"/>
    <n v="5"/>
    <x v="7"/>
    <x v="0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x v="0"/>
    <n v="87"/>
    <n v="2"/>
    <n v="4"/>
    <x v="7"/>
    <x v="0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x v="0"/>
    <n v="89"/>
    <n v="4"/>
    <n v="1"/>
    <x v="1"/>
    <x v="2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x v="1"/>
    <n v="88"/>
    <n v="3"/>
    <n v="5"/>
    <x v="5"/>
    <x v="1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x v="1"/>
    <n v="82"/>
    <n v="4"/>
    <n v="3"/>
    <x v="0"/>
    <x v="2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x v="0"/>
    <n v="57"/>
    <n v="4"/>
    <n v="1"/>
    <x v="1"/>
    <x v="0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x v="1"/>
    <n v="47"/>
    <n v="3"/>
    <n v="1"/>
    <x v="1"/>
    <x v="2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x v="1"/>
    <n v="73"/>
    <n v="1"/>
    <n v="1"/>
    <x v="6"/>
    <x v="0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x v="1"/>
    <n v="53"/>
    <n v="3"/>
    <n v="1"/>
    <x v="1"/>
    <x v="0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x v="0"/>
    <n v="94"/>
    <n v="1"/>
    <n v="5"/>
    <x v="5"/>
    <x v="1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x v="1"/>
    <n v="37"/>
    <n v="2"/>
    <n v="4"/>
    <x v="4"/>
    <x v="1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x v="0"/>
    <n v="45"/>
    <n v="2"/>
    <n v="1"/>
    <x v="2"/>
    <x v="2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x v="0"/>
    <n v="33"/>
    <n v="2"/>
    <n v="5"/>
    <x v="5"/>
    <x v="1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x v="0"/>
    <n v="86"/>
    <n v="3"/>
    <n v="2"/>
    <x v="0"/>
    <x v="3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x v="1"/>
    <n v="83"/>
    <n v="3"/>
    <n v="5"/>
    <x v="5"/>
    <x v="1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x v="1"/>
    <n v="67"/>
    <n v="3"/>
    <n v="3"/>
    <x v="3"/>
    <x v="0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x v="0"/>
    <n v="46"/>
    <n v="3"/>
    <n v="2"/>
    <x v="2"/>
    <x v="1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x v="1"/>
    <n v="44"/>
    <n v="3"/>
    <n v="1"/>
    <x v="2"/>
    <x v="2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x v="1"/>
    <n v="92"/>
    <n v="4"/>
    <n v="5"/>
    <x v="5"/>
    <x v="3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x v="1"/>
    <n v="56"/>
    <n v="2"/>
    <n v="2"/>
    <x v="8"/>
    <x v="1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x v="1"/>
    <n v="66"/>
    <n v="3"/>
    <n v="1"/>
    <x v="1"/>
    <x v="2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x v="0"/>
    <n v="78"/>
    <n v="4"/>
    <n v="2"/>
    <x v="1"/>
    <x v="1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x v="0"/>
    <n v="56"/>
    <n v="2"/>
    <n v="3"/>
    <x v="0"/>
    <x v="0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x v="0"/>
    <n v="53"/>
    <n v="3"/>
    <n v="2"/>
    <x v="3"/>
    <x v="1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x v="0"/>
    <n v="73"/>
    <n v="3"/>
    <n v="3"/>
    <x v="4"/>
    <x v="0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x v="1"/>
    <n v="52"/>
    <n v="2"/>
    <n v="1"/>
    <x v="2"/>
    <x v="0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x v="0"/>
    <n v="40"/>
    <n v="2"/>
    <n v="1"/>
    <x v="2"/>
    <x v="2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x v="0"/>
    <n v="72"/>
    <n v="3"/>
    <n v="2"/>
    <x v="3"/>
    <x v="2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x v="0"/>
    <n v="39"/>
    <n v="3"/>
    <n v="1"/>
    <x v="2"/>
    <x v="2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x v="1"/>
    <n v="84"/>
    <n v="3"/>
    <n v="1"/>
    <x v="1"/>
    <x v="3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x v="0"/>
    <n v="40"/>
    <n v="3"/>
    <n v="1"/>
    <x v="1"/>
    <x v="1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x v="1"/>
    <n v="56"/>
    <n v="4"/>
    <n v="2"/>
    <x v="0"/>
    <x v="0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x v="0"/>
    <n v="83"/>
    <n v="3"/>
    <n v="5"/>
    <x v="5"/>
    <x v="1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x v="0"/>
    <n v="94"/>
    <n v="2"/>
    <n v="4"/>
    <x v="5"/>
    <x v="1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x v="1"/>
    <n v="88"/>
    <n v="3"/>
    <n v="1"/>
    <x v="1"/>
    <x v="2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x v="1"/>
    <n v="79"/>
    <n v="3"/>
    <n v="2"/>
    <x v="2"/>
    <x v="2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x v="1"/>
    <n v="93"/>
    <n v="3"/>
    <n v="1"/>
    <x v="1"/>
    <x v="3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x v="0"/>
    <n v="48"/>
    <n v="2"/>
    <n v="2"/>
    <x v="2"/>
    <x v="0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x v="0"/>
    <n v="63"/>
    <n v="3"/>
    <n v="3"/>
    <x v="4"/>
    <x v="2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x v="0"/>
    <n v="44"/>
    <n v="3"/>
    <n v="1"/>
    <x v="8"/>
    <x v="3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x v="0"/>
    <n v="55"/>
    <n v="1"/>
    <n v="2"/>
    <x v="2"/>
    <x v="0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x v="0"/>
    <n v="43"/>
    <n v="3"/>
    <n v="4"/>
    <x v="7"/>
    <x v="3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x v="1"/>
    <n v="57"/>
    <n v="2"/>
    <n v="3"/>
    <x v="0"/>
    <x v="1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x v="1"/>
    <n v="64"/>
    <n v="3"/>
    <n v="3"/>
    <x v="0"/>
    <x v="1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x v="0"/>
    <n v="95"/>
    <n v="3"/>
    <n v="3"/>
    <x v="5"/>
    <x v="3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x v="1"/>
    <n v="32"/>
    <n v="3"/>
    <n v="2"/>
    <x v="3"/>
    <x v="2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x v="0"/>
    <n v="57"/>
    <n v="3"/>
    <n v="3"/>
    <x v="0"/>
    <x v="2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x v="1"/>
    <n v="40"/>
    <n v="1"/>
    <n v="2"/>
    <x v="0"/>
    <x v="1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x v="0"/>
    <n v="54"/>
    <n v="3"/>
    <n v="1"/>
    <x v="6"/>
    <x v="1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x v="1"/>
    <n v="89"/>
    <n v="3"/>
    <n v="1"/>
    <x v="2"/>
    <x v="3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x v="1"/>
    <n v="37"/>
    <n v="3"/>
    <n v="4"/>
    <x v="5"/>
    <x v="2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x v="0"/>
    <n v="58"/>
    <n v="1"/>
    <n v="5"/>
    <x v="5"/>
    <x v="2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x v="1"/>
    <n v="99"/>
    <n v="3"/>
    <n v="5"/>
    <x v="5"/>
    <x v="1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x v="1"/>
    <n v="74"/>
    <n v="3"/>
    <n v="1"/>
    <x v="1"/>
    <x v="2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x v="1"/>
    <n v="86"/>
    <n v="3"/>
    <n v="3"/>
    <x v="4"/>
    <x v="0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x v="1"/>
    <n v="98"/>
    <n v="3"/>
    <n v="2"/>
    <x v="1"/>
    <x v="0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x v="0"/>
    <n v="66"/>
    <n v="3"/>
    <n v="2"/>
    <x v="0"/>
    <x v="3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x v="1"/>
    <n v="87"/>
    <n v="3"/>
    <n v="2"/>
    <x v="1"/>
    <x v="2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x v="1"/>
    <n v="84"/>
    <n v="3"/>
    <n v="4"/>
    <x v="5"/>
    <x v="1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x v="0"/>
    <n v="31"/>
    <n v="3"/>
    <n v="2"/>
    <x v="0"/>
    <x v="3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x v="0"/>
    <n v="66"/>
    <n v="3"/>
    <n v="2"/>
    <x v="0"/>
    <x v="3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x v="1"/>
    <n v="67"/>
    <n v="3"/>
    <n v="1"/>
    <x v="2"/>
    <x v="0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x v="0"/>
    <n v="53"/>
    <n v="2"/>
    <n v="3"/>
    <x v="3"/>
    <x v="3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x v="1"/>
    <n v="88"/>
    <n v="3"/>
    <n v="1"/>
    <x v="2"/>
    <x v="1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x v="0"/>
    <n v="83"/>
    <n v="4"/>
    <n v="2"/>
    <x v="0"/>
    <x v="3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x v="1"/>
    <n v="54"/>
    <n v="3"/>
    <n v="3"/>
    <x v="3"/>
    <x v="0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x v="0"/>
    <n v="98"/>
    <n v="4"/>
    <n v="1"/>
    <x v="6"/>
    <x v="0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x v="0"/>
    <n v="82"/>
    <n v="2"/>
    <n v="4"/>
    <x v="3"/>
    <x v="1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x v="0"/>
    <n v="97"/>
    <n v="3"/>
    <n v="1"/>
    <x v="2"/>
    <x v="0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x v="0"/>
    <n v="60"/>
    <n v="2"/>
    <n v="2"/>
    <x v="2"/>
    <x v="0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x v="1"/>
    <n v="43"/>
    <n v="1"/>
    <n v="2"/>
    <x v="0"/>
    <x v="0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x v="1"/>
    <n v="85"/>
    <n v="4"/>
    <n v="4"/>
    <x v="0"/>
    <x v="2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x v="1"/>
    <n v="68"/>
    <n v="3"/>
    <n v="4"/>
    <x v="3"/>
    <x v="1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x v="0"/>
    <n v="92"/>
    <n v="2"/>
    <n v="1"/>
    <x v="1"/>
    <x v="2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x v="0"/>
    <n v="89"/>
    <n v="4"/>
    <n v="2"/>
    <x v="4"/>
    <x v="2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x v="1"/>
    <n v="86"/>
    <n v="3"/>
    <n v="2"/>
    <x v="2"/>
    <x v="2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x v="0"/>
    <n v="90"/>
    <n v="2"/>
    <n v="1"/>
    <x v="6"/>
    <x v="0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x v="0"/>
    <n v="67"/>
    <n v="3"/>
    <n v="2"/>
    <x v="0"/>
    <x v="2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x v="1"/>
    <n v="57"/>
    <n v="4"/>
    <n v="1"/>
    <x v="1"/>
    <x v="2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x v="0"/>
    <n v="98"/>
    <n v="3"/>
    <n v="2"/>
    <x v="4"/>
    <x v="0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x v="1"/>
    <n v="48"/>
    <n v="2"/>
    <n v="2"/>
    <x v="0"/>
    <x v="3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x v="1"/>
    <n v="98"/>
    <n v="3"/>
    <n v="2"/>
    <x v="3"/>
    <x v="2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x v="1"/>
    <n v="44"/>
    <n v="2"/>
    <n v="2"/>
    <x v="0"/>
    <x v="0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x v="1"/>
    <n v="52"/>
    <n v="3"/>
    <n v="3"/>
    <x v="0"/>
    <x v="1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x v="0"/>
    <n v="75"/>
    <n v="3"/>
    <n v="2"/>
    <x v="1"/>
    <x v="0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x v="1"/>
    <n v="54"/>
    <n v="3"/>
    <n v="1"/>
    <x v="1"/>
    <x v="2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x v="1"/>
    <n v="61"/>
    <n v="3"/>
    <n v="2"/>
    <x v="0"/>
    <x v="0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x v="1"/>
    <n v="36"/>
    <n v="3"/>
    <n v="2"/>
    <x v="0"/>
    <x v="1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x v="1"/>
    <n v="71"/>
    <n v="3"/>
    <n v="3"/>
    <x v="4"/>
    <x v="2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x v="1"/>
    <n v="93"/>
    <n v="4"/>
    <n v="2"/>
    <x v="0"/>
    <x v="2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x v="0"/>
    <n v="59"/>
    <n v="4"/>
    <n v="4"/>
    <x v="3"/>
    <x v="2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x v="0"/>
    <n v="73"/>
    <n v="2"/>
    <n v="2"/>
    <x v="1"/>
    <x v="2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x v="0"/>
    <n v="98"/>
    <n v="2"/>
    <n v="2"/>
    <x v="0"/>
    <x v="0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x v="0"/>
    <n v="51"/>
    <n v="3"/>
    <n v="1"/>
    <x v="1"/>
    <x v="2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x v="1"/>
    <n v="36"/>
    <n v="2"/>
    <n v="1"/>
    <x v="1"/>
    <x v="0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x v="0"/>
    <n v="31"/>
    <n v="3"/>
    <n v="4"/>
    <x v="5"/>
    <x v="3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x v="0"/>
    <n v="54"/>
    <n v="3"/>
    <n v="1"/>
    <x v="2"/>
    <x v="3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x v="0"/>
    <n v="94"/>
    <n v="3"/>
    <n v="1"/>
    <x v="2"/>
    <x v="2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x v="1"/>
    <n v="60"/>
    <n v="3"/>
    <n v="3"/>
    <x v="3"/>
    <x v="0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x v="1"/>
    <n v="81"/>
    <n v="3"/>
    <n v="1"/>
    <x v="2"/>
    <x v="0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x v="1"/>
    <n v="100"/>
    <n v="4"/>
    <n v="1"/>
    <x v="2"/>
    <x v="3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x v="1"/>
    <n v="51"/>
    <n v="2"/>
    <n v="3"/>
    <x v="8"/>
    <x v="3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x v="1"/>
    <n v="97"/>
    <n v="2"/>
    <n v="2"/>
    <x v="2"/>
    <x v="3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x v="0"/>
    <n v="84"/>
    <n v="3"/>
    <n v="3"/>
    <x v="4"/>
    <x v="0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x v="0"/>
    <n v="54"/>
    <n v="3"/>
    <n v="4"/>
    <x v="7"/>
    <x v="0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x v="0"/>
    <n v="76"/>
    <n v="3"/>
    <n v="5"/>
    <x v="7"/>
    <x v="3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x v="1"/>
    <n v="81"/>
    <n v="4"/>
    <n v="4"/>
    <x v="7"/>
    <x v="0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x v="0"/>
    <n v="99"/>
    <n v="3"/>
    <n v="2"/>
    <x v="0"/>
    <x v="1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x v="0"/>
    <n v="50"/>
    <n v="1"/>
    <n v="1"/>
    <x v="6"/>
    <x v="2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x v="0"/>
    <n v="73"/>
    <n v="3"/>
    <n v="2"/>
    <x v="0"/>
    <x v="3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x v="0"/>
    <n v="93"/>
    <n v="3"/>
    <n v="4"/>
    <x v="7"/>
    <x v="1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x v="1"/>
    <n v="91"/>
    <n v="3"/>
    <n v="1"/>
    <x v="1"/>
    <x v="3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x v="0"/>
    <n v="34"/>
    <n v="2"/>
    <n v="1"/>
    <x v="1"/>
    <x v="1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x v="1"/>
    <n v="91"/>
    <n v="3"/>
    <n v="1"/>
    <x v="2"/>
    <x v="3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x v="1"/>
    <n v="37"/>
    <n v="2"/>
    <n v="2"/>
    <x v="2"/>
    <x v="0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x v="0"/>
    <n v="98"/>
    <n v="2"/>
    <n v="2"/>
    <x v="0"/>
    <x v="3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x v="1"/>
    <n v="74"/>
    <n v="3"/>
    <n v="1"/>
    <x v="1"/>
    <x v="0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x v="1"/>
    <n v="68"/>
    <n v="2"/>
    <n v="1"/>
    <x v="6"/>
    <x v="3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x v="1"/>
    <n v="84"/>
    <n v="4"/>
    <n v="1"/>
    <x v="2"/>
    <x v="2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x v="0"/>
    <n v="90"/>
    <n v="3"/>
    <n v="1"/>
    <x v="1"/>
    <x v="3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x v="0"/>
    <n v="82"/>
    <n v="3"/>
    <n v="4"/>
    <x v="7"/>
    <x v="2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x v="0"/>
    <n v="42"/>
    <n v="3"/>
    <n v="2"/>
    <x v="0"/>
    <x v="2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x v="1"/>
    <n v="97"/>
    <n v="3"/>
    <n v="2"/>
    <x v="0"/>
    <x v="0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x v="0"/>
    <n v="86"/>
    <n v="2"/>
    <n v="1"/>
    <x v="2"/>
    <x v="1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x v="1"/>
    <n v="90"/>
    <n v="4"/>
    <n v="1"/>
    <x v="1"/>
    <x v="2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x v="1"/>
    <n v="81"/>
    <n v="3"/>
    <n v="2"/>
    <x v="2"/>
    <x v="2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x v="1"/>
    <n v="31"/>
    <n v="3"/>
    <n v="3"/>
    <x v="0"/>
    <x v="0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x v="1"/>
    <n v="52"/>
    <n v="3"/>
    <n v="3"/>
    <x v="0"/>
    <x v="0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x v="0"/>
    <n v="54"/>
    <n v="2"/>
    <n v="1"/>
    <x v="2"/>
    <x v="3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x v="0"/>
    <n v="100"/>
    <n v="4"/>
    <n v="3"/>
    <x v="3"/>
    <x v="1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x v="1"/>
    <n v="95"/>
    <n v="1"/>
    <n v="3"/>
    <x v="4"/>
    <x v="3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x v="0"/>
    <n v="96"/>
    <n v="4"/>
    <n v="1"/>
    <x v="8"/>
    <x v="1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x v="1"/>
    <n v="94"/>
    <n v="3"/>
    <n v="1"/>
    <x v="2"/>
    <x v="0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x v="1"/>
    <n v="55"/>
    <n v="3"/>
    <n v="3"/>
    <x v="3"/>
    <x v="0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x v="1"/>
    <n v="96"/>
    <n v="3"/>
    <n v="2"/>
    <x v="0"/>
    <x v="3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x v="0"/>
    <n v="52"/>
    <n v="3"/>
    <n v="1"/>
    <x v="8"/>
    <x v="2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x v="1"/>
    <n v="55"/>
    <n v="2"/>
    <n v="3"/>
    <x v="7"/>
    <x v="1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x v="1"/>
    <n v="84"/>
    <n v="3"/>
    <n v="2"/>
    <x v="0"/>
    <x v="3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x v="1"/>
    <n v="90"/>
    <n v="2"/>
    <n v="1"/>
    <x v="2"/>
    <x v="2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x v="1"/>
    <n v="39"/>
    <n v="4"/>
    <n v="4"/>
    <x v="7"/>
    <x v="1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x v="1"/>
    <n v="96"/>
    <n v="3"/>
    <n v="2"/>
    <x v="4"/>
    <x v="2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x v="1"/>
    <n v="68"/>
    <n v="3"/>
    <n v="1"/>
    <x v="1"/>
    <x v="2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x v="1"/>
    <n v="49"/>
    <n v="3"/>
    <n v="1"/>
    <x v="1"/>
    <x v="1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x v="1"/>
    <n v="54"/>
    <n v="3"/>
    <n v="2"/>
    <x v="0"/>
    <x v="3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x v="1"/>
    <n v="81"/>
    <n v="1"/>
    <n v="2"/>
    <x v="0"/>
    <x v="3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x v="1"/>
    <n v="96"/>
    <n v="3"/>
    <n v="2"/>
    <x v="0"/>
    <x v="2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x v="0"/>
    <n v="74"/>
    <n v="3"/>
    <n v="1"/>
    <x v="2"/>
    <x v="0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x v="0"/>
    <n v="79"/>
    <n v="3"/>
    <n v="2"/>
    <x v="0"/>
    <x v="2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x v="1"/>
    <n v="64"/>
    <n v="3"/>
    <n v="1"/>
    <x v="1"/>
    <x v="2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x v="1"/>
    <n v="93"/>
    <n v="4"/>
    <n v="2"/>
    <x v="1"/>
    <x v="2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x v="1"/>
    <n v="35"/>
    <n v="3"/>
    <n v="3"/>
    <x v="4"/>
    <x v="1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x v="1"/>
    <n v="71"/>
    <n v="3"/>
    <n v="4"/>
    <x v="7"/>
    <x v="3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x v="1"/>
    <n v="92"/>
    <n v="3"/>
    <n v="1"/>
    <x v="6"/>
    <x v="2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x v="0"/>
    <n v="51"/>
    <n v="3"/>
    <n v="2"/>
    <x v="0"/>
    <x v="1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x v="0"/>
    <n v="40"/>
    <n v="2"/>
    <n v="2"/>
    <x v="0"/>
    <x v="1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x v="1"/>
    <n v="76"/>
    <n v="3"/>
    <n v="1"/>
    <x v="6"/>
    <x v="2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x v="1"/>
    <n v="89"/>
    <n v="3"/>
    <n v="1"/>
    <x v="2"/>
    <x v="3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x v="0"/>
    <n v="78"/>
    <n v="3"/>
    <n v="1"/>
    <x v="6"/>
    <x v="1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x v="1"/>
    <n v="86"/>
    <n v="3"/>
    <n v="3"/>
    <x v="3"/>
    <x v="2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x v="1"/>
    <n v="77"/>
    <n v="2"/>
    <n v="2"/>
    <x v="0"/>
    <x v="2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x v="1"/>
    <n v="46"/>
    <n v="3"/>
    <n v="1"/>
    <x v="8"/>
    <x v="2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x v="1"/>
    <n v="30"/>
    <n v="3"/>
    <n v="2"/>
    <x v="4"/>
    <x v="2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x v="0"/>
    <n v="82"/>
    <n v="2"/>
    <n v="1"/>
    <x v="2"/>
    <x v="1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x v="0"/>
    <n v="78"/>
    <n v="3"/>
    <n v="2"/>
    <x v="0"/>
    <x v="2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x v="1"/>
    <n v="38"/>
    <n v="2"/>
    <n v="1"/>
    <x v="2"/>
    <x v="3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x v="1"/>
    <n v="72"/>
    <n v="2"/>
    <n v="1"/>
    <x v="1"/>
    <x v="2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x v="1"/>
    <n v="55"/>
    <n v="3"/>
    <n v="2"/>
    <x v="0"/>
    <x v="3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x v="0"/>
    <n v="43"/>
    <n v="2"/>
    <n v="2"/>
    <x v="2"/>
    <x v="3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x v="0"/>
    <n v="97"/>
    <n v="3"/>
    <n v="1"/>
    <x v="2"/>
    <x v="1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x v="1"/>
    <n v="96"/>
    <n v="1"/>
    <n v="2"/>
    <x v="3"/>
    <x v="1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x v="1"/>
    <n v="69"/>
    <n v="3"/>
    <n v="2"/>
    <x v="4"/>
    <x v="2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x v="1"/>
    <n v="64"/>
    <n v="3"/>
    <n v="3"/>
    <x v="5"/>
    <x v="0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x v="0"/>
    <n v="87"/>
    <n v="3"/>
    <n v="4"/>
    <x v="5"/>
    <x v="0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x v="1"/>
    <n v="100"/>
    <n v="2"/>
    <n v="1"/>
    <x v="1"/>
    <x v="3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x v="1"/>
    <n v="32"/>
    <n v="3"/>
    <n v="4"/>
    <x v="7"/>
    <x v="3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x v="0"/>
    <n v="32"/>
    <n v="3"/>
    <n v="3"/>
    <x v="3"/>
    <x v="1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x v="0"/>
    <n v="51"/>
    <n v="3"/>
    <n v="4"/>
    <x v="5"/>
    <x v="1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x v="0"/>
    <n v="91"/>
    <n v="2"/>
    <n v="3"/>
    <x v="4"/>
    <x v="1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x v="1"/>
    <n v="97"/>
    <n v="3"/>
    <n v="2"/>
    <x v="2"/>
    <x v="2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x v="1"/>
    <n v="86"/>
    <n v="3"/>
    <n v="1"/>
    <x v="2"/>
    <x v="3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x v="1"/>
    <n v="64"/>
    <n v="2"/>
    <n v="3"/>
    <x v="0"/>
    <x v="2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x v="0"/>
    <n v="33"/>
    <n v="3"/>
    <n v="1"/>
    <x v="1"/>
    <x v="2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x v="1"/>
    <n v="88"/>
    <n v="1"/>
    <n v="4"/>
    <x v="7"/>
    <x v="0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x v="1"/>
    <n v="55"/>
    <n v="3"/>
    <n v="1"/>
    <x v="6"/>
    <x v="2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x v="1"/>
    <n v="68"/>
    <n v="2"/>
    <n v="1"/>
    <x v="2"/>
    <x v="1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x v="1"/>
    <n v="47"/>
    <n v="3"/>
    <n v="2"/>
    <x v="1"/>
    <x v="0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x v="0"/>
    <n v="39"/>
    <n v="1"/>
    <n v="2"/>
    <x v="4"/>
    <x v="3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x v="1"/>
    <n v="44"/>
    <n v="2"/>
    <n v="2"/>
    <x v="3"/>
    <x v="1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x v="1"/>
    <n v="97"/>
    <n v="3"/>
    <n v="1"/>
    <x v="1"/>
    <x v="0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x v="1"/>
    <n v="40"/>
    <n v="3"/>
    <n v="3"/>
    <x v="4"/>
    <x v="0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x v="1"/>
    <n v="47"/>
    <n v="3"/>
    <n v="2"/>
    <x v="0"/>
    <x v="3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x v="1"/>
    <n v="79"/>
    <n v="3"/>
    <n v="2"/>
    <x v="2"/>
    <x v="2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x v="1"/>
    <n v="38"/>
    <n v="3"/>
    <n v="4"/>
    <x v="5"/>
    <x v="0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x v="1"/>
    <n v="57"/>
    <n v="2"/>
    <n v="1"/>
    <x v="2"/>
    <x v="3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x v="1"/>
    <n v="72"/>
    <n v="3"/>
    <n v="2"/>
    <x v="4"/>
    <x v="0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x v="1"/>
    <n v="66"/>
    <n v="3"/>
    <n v="3"/>
    <x v="4"/>
    <x v="1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x v="0"/>
    <n v="98"/>
    <n v="2"/>
    <n v="1"/>
    <x v="6"/>
    <x v="2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x v="0"/>
    <n v="67"/>
    <n v="2"/>
    <n v="2"/>
    <x v="1"/>
    <x v="1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x v="1"/>
    <n v="70"/>
    <n v="3"/>
    <n v="1"/>
    <x v="6"/>
    <x v="0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x v="0"/>
    <n v="96"/>
    <n v="3"/>
    <n v="2"/>
    <x v="0"/>
    <x v="2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x v="1"/>
    <n v="91"/>
    <n v="4"/>
    <n v="1"/>
    <x v="1"/>
    <x v="2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x v="1"/>
    <n v="46"/>
    <n v="3"/>
    <n v="2"/>
    <x v="0"/>
    <x v="3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x v="1"/>
    <n v="64"/>
    <n v="2"/>
    <n v="2"/>
    <x v="0"/>
    <x v="3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x v="1"/>
    <n v="71"/>
    <n v="3"/>
    <n v="2"/>
    <x v="8"/>
    <x v="2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x v="1"/>
    <n v="68"/>
    <n v="2"/>
    <n v="1"/>
    <x v="2"/>
    <x v="3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x v="1"/>
    <n v="33"/>
    <n v="3"/>
    <n v="3"/>
    <x v="0"/>
    <x v="1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x v="0"/>
    <n v="69"/>
    <n v="3"/>
    <n v="1"/>
    <x v="2"/>
    <x v="3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x v="0"/>
    <n v="78"/>
    <n v="2"/>
    <n v="3"/>
    <x v="3"/>
    <x v="0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x v="1"/>
    <n v="81"/>
    <n v="3"/>
    <n v="2"/>
    <x v="3"/>
    <x v="1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x v="1"/>
    <n v="62"/>
    <n v="3"/>
    <n v="2"/>
    <x v="1"/>
    <x v="3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x v="0"/>
    <n v="65"/>
    <n v="3"/>
    <n v="1"/>
    <x v="1"/>
    <x v="3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x v="1"/>
    <n v="35"/>
    <n v="3"/>
    <n v="1"/>
    <x v="1"/>
    <x v="0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x v="1"/>
    <n v="60"/>
    <n v="2"/>
    <n v="5"/>
    <x v="5"/>
    <x v="0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x v="1"/>
    <n v="45"/>
    <n v="3"/>
    <n v="2"/>
    <x v="1"/>
    <x v="0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x v="0"/>
    <n v="89"/>
    <n v="3"/>
    <n v="1"/>
    <x v="1"/>
    <x v="0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x v="1"/>
    <n v="80"/>
    <n v="3"/>
    <n v="2"/>
    <x v="0"/>
    <x v="1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x v="0"/>
    <n v="90"/>
    <n v="3"/>
    <n v="2"/>
    <x v="0"/>
    <x v="1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x v="0"/>
    <n v="73"/>
    <n v="3"/>
    <n v="2"/>
    <x v="0"/>
    <x v="2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x v="1"/>
    <n v="87"/>
    <n v="3"/>
    <n v="1"/>
    <x v="2"/>
    <x v="3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x v="0"/>
    <n v="51"/>
    <n v="3"/>
    <n v="2"/>
    <x v="4"/>
    <x v="2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x v="1"/>
    <n v="38"/>
    <n v="4"/>
    <n v="3"/>
    <x v="0"/>
    <x v="2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x v="1"/>
    <n v="87"/>
    <n v="3"/>
    <n v="2"/>
    <x v="4"/>
    <x v="0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x v="1"/>
    <n v="59"/>
    <n v="3"/>
    <n v="5"/>
    <x v="5"/>
    <x v="2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x v="1"/>
    <n v="45"/>
    <n v="4"/>
    <n v="1"/>
    <x v="1"/>
    <x v="2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x v="1"/>
    <n v="80"/>
    <n v="4"/>
    <n v="2"/>
    <x v="2"/>
    <x v="3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x v="1"/>
    <n v="93"/>
    <n v="2"/>
    <n v="5"/>
    <x v="5"/>
    <x v="0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x v="1"/>
    <n v="46"/>
    <n v="4"/>
    <n v="2"/>
    <x v="2"/>
    <x v="2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x v="1"/>
    <n v="92"/>
    <n v="2"/>
    <n v="2"/>
    <x v="4"/>
    <x v="2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x v="0"/>
    <n v="84"/>
    <n v="3"/>
    <n v="2"/>
    <x v="0"/>
    <x v="3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x v="1"/>
    <n v="87"/>
    <n v="4"/>
    <n v="1"/>
    <x v="2"/>
    <x v="1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x v="1"/>
    <n v="63"/>
    <n v="2"/>
    <n v="1"/>
    <x v="2"/>
    <x v="0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x v="1"/>
    <n v="56"/>
    <n v="4"/>
    <n v="4"/>
    <x v="5"/>
    <x v="3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x v="1"/>
    <n v="51"/>
    <n v="3"/>
    <n v="1"/>
    <x v="2"/>
    <x v="1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x v="0"/>
    <n v="85"/>
    <n v="2"/>
    <n v="1"/>
    <x v="1"/>
    <x v="2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x v="1"/>
    <n v="41"/>
    <n v="3"/>
    <n v="4"/>
    <x v="4"/>
    <x v="2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x v="0"/>
    <n v="35"/>
    <n v="4"/>
    <n v="1"/>
    <x v="1"/>
    <x v="0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x v="0"/>
    <n v="31"/>
    <n v="3"/>
    <n v="5"/>
    <x v="7"/>
    <x v="0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x v="1"/>
    <n v="48"/>
    <n v="2"/>
    <n v="1"/>
    <x v="1"/>
    <x v="1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x v="0"/>
    <n v="50"/>
    <n v="1"/>
    <n v="2"/>
    <x v="2"/>
    <x v="3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x v="1"/>
    <n v="52"/>
    <n v="2"/>
    <n v="2"/>
    <x v="0"/>
    <x v="3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x v="1"/>
    <n v="54"/>
    <n v="3"/>
    <n v="2"/>
    <x v="0"/>
    <x v="3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x v="0"/>
    <n v="76"/>
    <n v="3"/>
    <n v="2"/>
    <x v="3"/>
    <x v="2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x v="1"/>
    <n v="42"/>
    <n v="4"/>
    <n v="2"/>
    <x v="3"/>
    <x v="0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x v="0"/>
    <n v="84"/>
    <n v="3"/>
    <n v="1"/>
    <x v="2"/>
    <x v="3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x v="1"/>
    <n v="76"/>
    <n v="3"/>
    <n v="2"/>
    <x v="3"/>
    <x v="3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x v="1"/>
    <n v="67"/>
    <n v="2"/>
    <n v="1"/>
    <x v="2"/>
    <x v="3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x v="1"/>
    <n v="48"/>
    <n v="4"/>
    <n v="2"/>
    <x v="1"/>
    <x v="3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x v="0"/>
    <n v="39"/>
    <n v="1"/>
    <n v="2"/>
    <x v="3"/>
    <x v="3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x v="1"/>
    <n v="97"/>
    <n v="3"/>
    <n v="1"/>
    <x v="1"/>
    <x v="0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x v="0"/>
    <n v="70"/>
    <n v="3"/>
    <n v="1"/>
    <x v="6"/>
    <x v="0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x v="0"/>
    <n v="98"/>
    <n v="3"/>
    <n v="5"/>
    <x v="5"/>
    <x v="2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x v="1"/>
    <n v="76"/>
    <n v="2"/>
    <n v="2"/>
    <x v="2"/>
    <x v="2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x v="0"/>
    <n v="80"/>
    <n v="2"/>
    <n v="3"/>
    <x v="3"/>
    <x v="2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x v="0"/>
    <n v="52"/>
    <n v="3"/>
    <n v="2"/>
    <x v="4"/>
    <x v="2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x v="1"/>
    <n v="85"/>
    <n v="3"/>
    <n v="2"/>
    <x v="3"/>
    <x v="2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x v="0"/>
    <n v="81"/>
    <n v="3"/>
    <n v="2"/>
    <x v="3"/>
    <x v="2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x v="0"/>
    <n v="59"/>
    <n v="2"/>
    <n v="2"/>
    <x v="3"/>
    <x v="0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x v="0"/>
    <n v="54"/>
    <n v="2"/>
    <n v="3"/>
    <x v="3"/>
    <x v="2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x v="1"/>
    <n v="55"/>
    <n v="2"/>
    <n v="3"/>
    <x v="0"/>
    <x v="3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x v="0"/>
    <n v="71"/>
    <n v="3"/>
    <n v="1"/>
    <x v="1"/>
    <x v="1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x v="0"/>
    <n v="84"/>
    <n v="3"/>
    <n v="3"/>
    <x v="3"/>
    <x v="0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x v="1"/>
    <n v="37"/>
    <n v="3"/>
    <n v="2"/>
    <x v="8"/>
    <x v="0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x v="1"/>
    <n v="89"/>
    <n v="2"/>
    <n v="4"/>
    <x v="5"/>
    <x v="0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x v="1"/>
    <n v="59"/>
    <n v="1"/>
    <n v="2"/>
    <x v="0"/>
    <x v="0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x v="0"/>
    <n v="32"/>
    <n v="3"/>
    <n v="1"/>
    <x v="1"/>
    <x v="0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x v="0"/>
    <n v="86"/>
    <n v="4"/>
    <n v="1"/>
    <x v="1"/>
    <x v="2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x v="1"/>
    <n v="87"/>
    <n v="3"/>
    <n v="1"/>
    <x v="1"/>
    <x v="0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x v="1"/>
    <n v="73"/>
    <n v="3"/>
    <n v="1"/>
    <x v="2"/>
    <x v="3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x v="1"/>
    <n v="42"/>
    <n v="2"/>
    <n v="2"/>
    <x v="0"/>
    <x v="2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x v="0"/>
    <n v="42"/>
    <n v="3"/>
    <n v="3"/>
    <x v="4"/>
    <x v="3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x v="1"/>
    <n v="77"/>
    <n v="4"/>
    <n v="2"/>
    <x v="3"/>
    <x v="2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x v="1"/>
    <n v="66"/>
    <n v="3"/>
    <n v="2"/>
    <x v="3"/>
    <x v="1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x v="0"/>
    <n v="72"/>
    <n v="3"/>
    <n v="4"/>
    <x v="7"/>
    <x v="1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x v="0"/>
    <n v="50"/>
    <n v="2"/>
    <n v="3"/>
    <x v="7"/>
    <x v="3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x v="0"/>
    <n v="31"/>
    <n v="3"/>
    <n v="1"/>
    <x v="6"/>
    <x v="2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x v="0"/>
    <n v="66"/>
    <n v="3"/>
    <n v="2"/>
    <x v="1"/>
    <x v="1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x v="1"/>
    <n v="77"/>
    <n v="3"/>
    <n v="1"/>
    <x v="2"/>
    <x v="1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x v="0"/>
    <n v="41"/>
    <n v="2"/>
    <n v="4"/>
    <x v="4"/>
    <x v="2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x v="0"/>
    <n v="33"/>
    <n v="2"/>
    <n v="2"/>
    <x v="3"/>
    <x v="2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x v="1"/>
    <n v="79"/>
    <n v="4"/>
    <n v="2"/>
    <x v="4"/>
    <x v="3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x v="0"/>
    <n v="91"/>
    <n v="3"/>
    <n v="4"/>
    <x v="5"/>
    <x v="2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x v="1"/>
    <n v="65"/>
    <n v="2"/>
    <n v="4"/>
    <x v="7"/>
    <x v="2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x v="1"/>
    <n v="36"/>
    <n v="3"/>
    <n v="2"/>
    <x v="0"/>
    <x v="0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x v="1"/>
    <n v="90"/>
    <n v="3"/>
    <n v="2"/>
    <x v="1"/>
    <x v="0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x v="1"/>
    <n v="43"/>
    <n v="2"/>
    <n v="2"/>
    <x v="0"/>
    <x v="1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x v="1"/>
    <n v="93"/>
    <n v="3"/>
    <n v="2"/>
    <x v="0"/>
    <x v="0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x v="1"/>
    <n v="45"/>
    <n v="3"/>
    <n v="2"/>
    <x v="1"/>
    <x v="1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x v="0"/>
    <n v="67"/>
    <n v="3"/>
    <n v="2"/>
    <x v="0"/>
    <x v="0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x v="0"/>
    <n v="74"/>
    <n v="3"/>
    <n v="1"/>
    <x v="2"/>
    <x v="3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x v="0"/>
    <n v="42"/>
    <n v="2"/>
    <n v="1"/>
    <x v="2"/>
    <x v="1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x v="0"/>
    <n v="47"/>
    <n v="4"/>
    <n v="4"/>
    <x v="5"/>
    <x v="1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x v="1"/>
    <n v="36"/>
    <n v="3"/>
    <n v="4"/>
    <x v="5"/>
    <x v="2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x v="1"/>
    <n v="80"/>
    <n v="3"/>
    <n v="3"/>
    <x v="0"/>
    <x v="2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x v="1"/>
    <n v="54"/>
    <n v="3"/>
    <n v="1"/>
    <x v="6"/>
    <x v="3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x v="0"/>
    <n v="36"/>
    <n v="3"/>
    <n v="2"/>
    <x v="0"/>
    <x v="0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x v="1"/>
    <n v="80"/>
    <n v="3"/>
    <n v="2"/>
    <x v="4"/>
    <x v="2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x v="0"/>
    <n v="44"/>
    <n v="3"/>
    <n v="1"/>
    <x v="8"/>
    <x v="0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x v="1"/>
    <n v="93"/>
    <n v="2"/>
    <n v="1"/>
    <x v="2"/>
    <x v="2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x v="0"/>
    <n v="87"/>
    <n v="3"/>
    <n v="1"/>
    <x v="2"/>
    <x v="2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x v="1"/>
    <n v="48"/>
    <n v="4"/>
    <n v="3"/>
    <x v="4"/>
    <x v="0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x v="0"/>
    <n v="95"/>
    <n v="3"/>
    <n v="1"/>
    <x v="6"/>
    <x v="2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x v="1"/>
    <n v="95"/>
    <n v="3"/>
    <n v="1"/>
    <x v="2"/>
    <x v="1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x v="1"/>
    <n v="76"/>
    <n v="3"/>
    <n v="1"/>
    <x v="2"/>
    <x v="0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x v="1"/>
    <n v="94"/>
    <n v="2"/>
    <n v="1"/>
    <x v="1"/>
    <x v="1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x v="1"/>
    <n v="57"/>
    <n v="2"/>
    <n v="2"/>
    <x v="2"/>
    <x v="0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x v="1"/>
    <n v="92"/>
    <n v="1"/>
    <n v="3"/>
    <x v="4"/>
    <x v="0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x v="1"/>
    <n v="79"/>
    <n v="4"/>
    <n v="1"/>
    <x v="2"/>
    <x v="1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x v="1"/>
    <n v="31"/>
    <n v="1"/>
    <n v="2"/>
    <x v="0"/>
    <x v="0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x v="0"/>
    <n v="35"/>
    <n v="2"/>
    <n v="1"/>
    <x v="1"/>
    <x v="0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x v="1"/>
    <n v="99"/>
    <n v="3"/>
    <n v="1"/>
    <x v="6"/>
    <x v="0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x v="0"/>
    <n v="96"/>
    <n v="4"/>
    <n v="3"/>
    <x v="4"/>
    <x v="0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x v="1"/>
    <n v="79"/>
    <n v="2"/>
    <n v="1"/>
    <x v="1"/>
    <x v="0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x v="1"/>
    <n v="73"/>
    <n v="3"/>
    <n v="2"/>
    <x v="0"/>
    <x v="0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x v="1"/>
    <n v="62"/>
    <n v="4"/>
    <n v="1"/>
    <x v="1"/>
    <x v="2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x v="1"/>
    <n v="35"/>
    <n v="3"/>
    <n v="3"/>
    <x v="0"/>
    <x v="2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x v="0"/>
    <n v="43"/>
    <n v="3"/>
    <n v="1"/>
    <x v="2"/>
    <x v="2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x v="0"/>
    <n v="51"/>
    <n v="3"/>
    <n v="2"/>
    <x v="6"/>
    <x v="0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x v="1"/>
    <n v="74"/>
    <n v="2"/>
    <n v="3"/>
    <x v="4"/>
    <x v="2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x v="1"/>
    <n v="58"/>
    <n v="1"/>
    <n v="1"/>
    <x v="8"/>
    <x v="2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x v="1"/>
    <n v="82"/>
    <n v="1"/>
    <n v="4"/>
    <x v="0"/>
    <x v="2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x v="1"/>
    <n v="62"/>
    <n v="1"/>
    <n v="1"/>
    <x v="2"/>
    <x v="2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x v="0"/>
    <n v="48"/>
    <n v="2"/>
    <n v="4"/>
    <x v="7"/>
    <x v="1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x v="1"/>
    <n v="56"/>
    <n v="3"/>
    <n v="1"/>
    <x v="1"/>
    <x v="2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x v="1"/>
    <n v="69"/>
    <n v="3"/>
    <n v="1"/>
    <x v="2"/>
    <x v="2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x v="1"/>
    <n v="60"/>
    <n v="1"/>
    <n v="2"/>
    <x v="8"/>
    <x v="1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x v="0"/>
    <n v="92"/>
    <n v="3"/>
    <n v="2"/>
    <x v="3"/>
    <x v="3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x v="1"/>
    <n v="91"/>
    <n v="3"/>
    <n v="1"/>
    <x v="2"/>
    <x v="3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x v="1"/>
    <n v="34"/>
    <n v="3"/>
    <n v="2"/>
    <x v="4"/>
    <x v="1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x v="1"/>
    <n v="49"/>
    <n v="3"/>
    <n v="2"/>
    <x v="3"/>
    <x v="2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x v="1"/>
    <n v="33"/>
    <n v="3"/>
    <n v="1"/>
    <x v="1"/>
    <x v="0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x v="1"/>
    <n v="87"/>
    <n v="3"/>
    <n v="2"/>
    <x v="0"/>
    <x v="1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x v="1"/>
    <n v="74"/>
    <n v="3"/>
    <n v="3"/>
    <x v="0"/>
    <x v="0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x v="1"/>
    <n v="96"/>
    <n v="2"/>
    <n v="2"/>
    <x v="0"/>
    <x v="3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x v="1"/>
    <n v="34"/>
    <n v="1"/>
    <n v="2"/>
    <x v="0"/>
    <x v="1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x v="0"/>
    <n v="51"/>
    <n v="3"/>
    <n v="1"/>
    <x v="2"/>
    <x v="1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x v="0"/>
    <n v="30"/>
    <n v="3"/>
    <n v="2"/>
    <x v="3"/>
    <x v="0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x v="1"/>
    <n v="77"/>
    <n v="3"/>
    <n v="2"/>
    <x v="2"/>
    <x v="0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x v="1"/>
    <n v="80"/>
    <n v="1"/>
    <n v="3"/>
    <x v="0"/>
    <x v="2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x v="1"/>
    <n v="88"/>
    <n v="3"/>
    <n v="5"/>
    <x v="5"/>
    <x v="1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x v="0"/>
    <n v="56"/>
    <n v="1"/>
    <n v="3"/>
    <x v="8"/>
    <x v="2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x v="0"/>
    <n v="78"/>
    <n v="2"/>
    <n v="1"/>
    <x v="1"/>
    <x v="3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x v="1"/>
    <n v="59"/>
    <n v="3"/>
    <n v="1"/>
    <x v="8"/>
    <x v="0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x v="0"/>
    <n v="66"/>
    <n v="2"/>
    <n v="1"/>
    <x v="8"/>
    <x v="0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x v="1"/>
    <n v="51"/>
    <n v="3"/>
    <n v="2"/>
    <x v="0"/>
    <x v="2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x v="0"/>
    <n v="67"/>
    <n v="3"/>
    <n v="1"/>
    <x v="1"/>
    <x v="0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x v="0"/>
    <n v="52"/>
    <n v="1"/>
    <n v="1"/>
    <x v="6"/>
    <x v="1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x v="1"/>
    <n v="70"/>
    <n v="4"/>
    <n v="2"/>
    <x v="4"/>
    <x v="2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x v="1"/>
    <n v="94"/>
    <n v="2"/>
    <n v="3"/>
    <x v="0"/>
    <x v="3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x v="1"/>
    <n v="97"/>
    <n v="4"/>
    <n v="1"/>
    <x v="1"/>
    <x v="0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x v="0"/>
    <n v="62"/>
    <n v="3"/>
    <n v="2"/>
    <x v="0"/>
    <x v="1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x v="0"/>
    <n v="80"/>
    <n v="3"/>
    <n v="2"/>
    <x v="0"/>
    <x v="0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x v="0"/>
    <n v="74"/>
    <n v="3"/>
    <n v="3"/>
    <x v="0"/>
    <x v="3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x v="0"/>
    <n v="75"/>
    <n v="2"/>
    <n v="1"/>
    <x v="2"/>
    <x v="1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x v="1"/>
    <n v="70"/>
    <n v="3"/>
    <n v="3"/>
    <x v="0"/>
    <x v="2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x v="0"/>
    <n v="91"/>
    <n v="2"/>
    <n v="1"/>
    <x v="1"/>
    <x v="3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x v="1"/>
    <n v="58"/>
    <n v="4"/>
    <n v="2"/>
    <x v="4"/>
    <x v="2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x v="1"/>
    <n v="65"/>
    <n v="3"/>
    <n v="1"/>
    <x v="1"/>
    <x v="1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x v="1"/>
    <n v="60"/>
    <n v="1"/>
    <n v="2"/>
    <x v="4"/>
    <x v="0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x v="1"/>
    <n v="38"/>
    <n v="2"/>
    <n v="1"/>
    <x v="1"/>
    <x v="2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x v="1"/>
    <n v="57"/>
    <n v="3"/>
    <n v="1"/>
    <x v="2"/>
    <x v="1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x v="1"/>
    <n v="60"/>
    <n v="2"/>
    <n v="5"/>
    <x v="7"/>
    <x v="3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x v="1"/>
    <n v="90"/>
    <n v="3"/>
    <n v="2"/>
    <x v="1"/>
    <x v="1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x v="1"/>
    <n v="94"/>
    <n v="3"/>
    <n v="1"/>
    <x v="2"/>
    <x v="3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x v="1"/>
    <n v="87"/>
    <n v="3"/>
    <n v="2"/>
    <x v="0"/>
    <x v="2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x v="0"/>
    <n v="60"/>
    <n v="2"/>
    <n v="4"/>
    <x v="3"/>
    <x v="2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x v="1"/>
    <n v="97"/>
    <n v="3"/>
    <n v="1"/>
    <x v="8"/>
    <x v="0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x v="0"/>
    <n v="32"/>
    <n v="1"/>
    <n v="2"/>
    <x v="0"/>
    <x v="0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x v="1"/>
    <n v="31"/>
    <n v="3"/>
    <n v="1"/>
    <x v="6"/>
    <x v="1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x v="0"/>
    <n v="40"/>
    <n v="2"/>
    <n v="1"/>
    <x v="2"/>
    <x v="2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x v="0"/>
    <n v="79"/>
    <n v="3"/>
    <n v="1"/>
    <x v="2"/>
    <x v="3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x v="0"/>
    <n v="91"/>
    <n v="2"/>
    <n v="2"/>
    <x v="0"/>
    <x v="0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x v="0"/>
    <n v="53"/>
    <n v="3"/>
    <n v="3"/>
    <x v="5"/>
    <x v="2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x v="1"/>
    <n v="46"/>
    <n v="2"/>
    <n v="2"/>
    <x v="0"/>
    <x v="1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x v="1"/>
    <n v="46"/>
    <n v="3"/>
    <n v="5"/>
    <x v="7"/>
    <x v="0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x v="1"/>
    <n v="90"/>
    <n v="3"/>
    <n v="3"/>
    <x v="4"/>
    <x v="3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x v="1"/>
    <n v="99"/>
    <n v="3"/>
    <n v="1"/>
    <x v="1"/>
    <x v="1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x v="1"/>
    <n v="89"/>
    <n v="3"/>
    <n v="2"/>
    <x v="8"/>
    <x v="1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x v="1"/>
    <n v="84"/>
    <n v="3"/>
    <n v="2"/>
    <x v="0"/>
    <x v="0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x v="1"/>
    <n v="90"/>
    <n v="4"/>
    <n v="1"/>
    <x v="1"/>
    <x v="3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x v="1"/>
    <n v="82"/>
    <n v="3"/>
    <n v="1"/>
    <x v="1"/>
    <x v="0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x v="1"/>
    <n v="65"/>
    <n v="3"/>
    <n v="3"/>
    <x v="7"/>
    <x v="2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x v="1"/>
    <n v="98"/>
    <n v="2"/>
    <n v="2"/>
    <x v="0"/>
    <x v="1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x v="0"/>
    <n v="99"/>
    <n v="3"/>
    <n v="1"/>
    <x v="2"/>
    <x v="3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x v="1"/>
    <n v="95"/>
    <n v="4"/>
    <n v="2"/>
    <x v="4"/>
    <x v="3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x v="1"/>
    <n v="90"/>
    <n v="3"/>
    <n v="2"/>
    <x v="3"/>
    <x v="0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x v="1"/>
    <n v="100"/>
    <n v="3"/>
    <n v="1"/>
    <x v="8"/>
    <x v="1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x v="1"/>
    <n v="93"/>
    <n v="3"/>
    <n v="2"/>
    <x v="2"/>
    <x v="3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x v="1"/>
    <n v="58"/>
    <n v="3"/>
    <n v="2"/>
    <x v="3"/>
    <x v="3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x v="1"/>
    <n v="83"/>
    <n v="3"/>
    <n v="2"/>
    <x v="0"/>
    <x v="0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x v="1"/>
    <n v="52"/>
    <n v="3"/>
    <n v="1"/>
    <x v="1"/>
    <x v="2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x v="1"/>
    <n v="85"/>
    <n v="4"/>
    <n v="2"/>
    <x v="4"/>
    <x v="1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x v="0"/>
    <n v="81"/>
    <n v="3"/>
    <n v="3"/>
    <x v="0"/>
    <x v="2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x v="0"/>
    <n v="64"/>
    <n v="3"/>
    <n v="3"/>
    <x v="3"/>
    <x v="2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x v="0"/>
    <n v="69"/>
    <n v="3"/>
    <n v="1"/>
    <x v="8"/>
    <x v="1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x v="0"/>
    <n v="66"/>
    <n v="3"/>
    <n v="2"/>
    <x v="4"/>
    <x v="1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x v="0"/>
    <n v="52"/>
    <n v="3"/>
    <n v="2"/>
    <x v="4"/>
    <x v="0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x v="1"/>
    <n v="92"/>
    <n v="4"/>
    <n v="2"/>
    <x v="0"/>
    <x v="2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x v="1"/>
    <n v="52"/>
    <n v="3"/>
    <n v="4"/>
    <x v="5"/>
    <x v="1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x v="1"/>
    <n v="91"/>
    <n v="1"/>
    <n v="1"/>
    <x v="2"/>
    <x v="2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x v="0"/>
    <n v="92"/>
    <n v="2"/>
    <n v="3"/>
    <x v="3"/>
    <x v="1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x v="0"/>
    <n v="47"/>
    <n v="3"/>
    <n v="2"/>
    <x v="4"/>
    <x v="3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x v="0"/>
    <n v="68"/>
    <n v="3"/>
    <n v="2"/>
    <x v="1"/>
    <x v="0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x v="0"/>
    <n v="68"/>
    <n v="3"/>
    <n v="3"/>
    <x v="0"/>
    <x v="3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x v="0"/>
    <n v="67"/>
    <n v="3"/>
    <n v="1"/>
    <x v="1"/>
    <x v="3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x v="0"/>
    <n v="77"/>
    <n v="1"/>
    <n v="2"/>
    <x v="6"/>
    <x v="0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x v="1"/>
    <n v="46"/>
    <n v="3"/>
    <n v="2"/>
    <x v="0"/>
    <x v="0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x v="1"/>
    <n v="87"/>
    <n v="3"/>
    <n v="4"/>
    <x v="7"/>
    <x v="2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x v="0"/>
    <n v="33"/>
    <n v="3"/>
    <n v="1"/>
    <x v="1"/>
    <x v="2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x v="1"/>
    <n v="89"/>
    <n v="4"/>
    <n v="1"/>
    <x v="8"/>
    <x v="3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x v="1"/>
    <n v="56"/>
    <n v="2"/>
    <n v="1"/>
    <x v="8"/>
    <x v="3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x v="0"/>
    <n v="67"/>
    <n v="3"/>
    <n v="2"/>
    <x v="0"/>
    <x v="2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x v="0"/>
    <n v="73"/>
    <n v="3"/>
    <n v="2"/>
    <x v="1"/>
    <x v="1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x v="1"/>
    <n v="92"/>
    <n v="3"/>
    <n v="2"/>
    <x v="0"/>
    <x v="0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x v="0"/>
    <n v="53"/>
    <n v="3"/>
    <n v="1"/>
    <x v="2"/>
    <x v="0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x v="1"/>
    <n v="40"/>
    <n v="3"/>
    <n v="1"/>
    <x v="2"/>
    <x v="0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x v="1"/>
    <n v="79"/>
    <n v="3"/>
    <n v="2"/>
    <x v="0"/>
    <x v="0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x v="1"/>
    <n v="38"/>
    <n v="3"/>
    <n v="1"/>
    <x v="1"/>
    <x v="2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x v="0"/>
    <n v="64"/>
    <n v="3"/>
    <n v="1"/>
    <x v="2"/>
    <x v="2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x v="1"/>
    <n v="82"/>
    <n v="3"/>
    <n v="3"/>
    <x v="3"/>
    <x v="0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x v="1"/>
    <n v="43"/>
    <n v="3"/>
    <n v="1"/>
    <x v="8"/>
    <x v="0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x v="1"/>
    <n v="93"/>
    <n v="1"/>
    <n v="2"/>
    <x v="4"/>
    <x v="2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x v="1"/>
    <n v="81"/>
    <n v="3"/>
    <n v="1"/>
    <x v="2"/>
    <x v="2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x v="1"/>
    <n v="82"/>
    <n v="2"/>
    <n v="2"/>
    <x v="0"/>
    <x v="1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x v="0"/>
    <n v="45"/>
    <n v="4"/>
    <n v="4"/>
    <x v="0"/>
    <x v="3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x v="0"/>
    <n v="36"/>
    <n v="2"/>
    <n v="2"/>
    <x v="6"/>
    <x v="2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x v="1"/>
    <n v="87"/>
    <n v="2"/>
    <n v="1"/>
    <x v="8"/>
    <x v="1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x v="0"/>
    <n v="81"/>
    <n v="2"/>
    <n v="5"/>
    <x v="5"/>
    <x v="2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x v="1"/>
    <n v="91"/>
    <n v="2"/>
    <n v="5"/>
    <x v="7"/>
    <x v="1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x v="1"/>
    <n v="73"/>
    <n v="2"/>
    <n v="1"/>
    <x v="1"/>
    <x v="0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x v="0"/>
    <n v="64"/>
    <n v="3"/>
    <n v="3"/>
    <x v="0"/>
    <x v="1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x v="0"/>
    <n v="77"/>
    <n v="2"/>
    <n v="1"/>
    <x v="1"/>
    <x v="3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x v="1"/>
    <n v="41"/>
    <n v="3"/>
    <n v="2"/>
    <x v="1"/>
    <x v="0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x v="1"/>
    <n v="98"/>
    <n v="2"/>
    <n v="1"/>
    <x v="1"/>
    <x v="0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x v="0"/>
    <n v="78"/>
    <n v="3"/>
    <n v="1"/>
    <x v="6"/>
    <x v="1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x v="1"/>
    <n v="89"/>
    <n v="3"/>
    <n v="1"/>
    <x v="6"/>
    <x v="0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x v="1"/>
    <n v="75"/>
    <n v="3"/>
    <n v="1"/>
    <x v="1"/>
    <x v="1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x v="0"/>
    <n v="63"/>
    <n v="2"/>
    <n v="2"/>
    <x v="0"/>
    <x v="2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x v="1"/>
    <n v="89"/>
    <n v="3"/>
    <n v="2"/>
    <x v="2"/>
    <x v="2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x v="1"/>
    <n v="64"/>
    <n v="3"/>
    <n v="3"/>
    <x v="0"/>
    <x v="0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x v="1"/>
    <n v="59"/>
    <n v="3"/>
    <n v="1"/>
    <x v="2"/>
    <x v="3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x v="1"/>
    <n v="78"/>
    <n v="3"/>
    <n v="2"/>
    <x v="1"/>
    <x v="3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x v="0"/>
    <n v="44"/>
    <n v="2"/>
    <n v="2"/>
    <x v="3"/>
    <x v="1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x v="0"/>
    <n v="93"/>
    <n v="2"/>
    <n v="2"/>
    <x v="3"/>
    <x v="0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x v="1"/>
    <n v="94"/>
    <n v="2"/>
    <n v="2"/>
    <x v="8"/>
    <x v="0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x v="1"/>
    <n v="98"/>
    <n v="3"/>
    <n v="4"/>
    <x v="5"/>
    <x v="3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x v="0"/>
    <n v="90"/>
    <n v="2"/>
    <n v="1"/>
    <x v="1"/>
    <x v="2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x v="0"/>
    <n v="89"/>
    <n v="4"/>
    <n v="2"/>
    <x v="0"/>
    <x v="2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x v="0"/>
    <n v="58"/>
    <n v="3"/>
    <n v="4"/>
    <x v="5"/>
    <x v="0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x v="1"/>
    <n v="78"/>
    <n v="4"/>
    <n v="2"/>
    <x v="4"/>
    <x v="3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x v="1"/>
    <n v="85"/>
    <n v="1"/>
    <n v="1"/>
    <x v="1"/>
    <x v="3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x v="1"/>
    <n v="97"/>
    <n v="3"/>
    <n v="1"/>
    <x v="2"/>
    <x v="0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x v="1"/>
    <n v="33"/>
    <n v="2"/>
    <n v="2"/>
    <x v="0"/>
    <x v="1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x v="0"/>
    <n v="54"/>
    <n v="3"/>
    <n v="2"/>
    <x v="0"/>
    <x v="1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x v="1"/>
    <n v="83"/>
    <n v="3"/>
    <n v="3"/>
    <x v="7"/>
    <x v="3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x v="0"/>
    <n v="86"/>
    <n v="3"/>
    <n v="2"/>
    <x v="0"/>
    <x v="0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x v="0"/>
    <n v="75"/>
    <n v="2"/>
    <n v="2"/>
    <x v="0"/>
    <x v="0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x v="0"/>
    <n v="62"/>
    <n v="4"/>
    <n v="1"/>
    <x v="2"/>
    <x v="2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x v="1"/>
    <n v="61"/>
    <n v="4"/>
    <n v="1"/>
    <x v="2"/>
    <x v="0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x v="1"/>
    <n v="44"/>
    <n v="3"/>
    <n v="2"/>
    <x v="4"/>
    <x v="2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x v="1"/>
    <n v="43"/>
    <n v="3"/>
    <n v="2"/>
    <x v="0"/>
    <x v="2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x v="1"/>
    <n v="42"/>
    <n v="2"/>
    <n v="2"/>
    <x v="0"/>
    <x v="0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x v="1"/>
    <n v="45"/>
    <n v="4"/>
    <n v="1"/>
    <x v="6"/>
    <x v="3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x v="0"/>
    <n v="32"/>
    <n v="1"/>
    <n v="2"/>
    <x v="0"/>
    <x v="2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x v="1"/>
    <n v="41"/>
    <n v="3"/>
    <n v="1"/>
    <x v="1"/>
    <x v="1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x v="1"/>
    <n v="86"/>
    <n v="2"/>
    <n v="2"/>
    <x v="1"/>
    <x v="0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x v="0"/>
    <n v="84"/>
    <n v="3"/>
    <n v="2"/>
    <x v="0"/>
    <x v="2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x v="1"/>
    <n v="64"/>
    <n v="3"/>
    <n v="2"/>
    <x v="1"/>
    <x v="1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x v="0"/>
    <n v="89"/>
    <n v="2"/>
    <n v="2"/>
    <x v="0"/>
    <x v="3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x v="1"/>
    <n v="87"/>
    <n v="3"/>
    <n v="2"/>
    <x v="3"/>
    <x v="3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x v="0"/>
    <n v="58"/>
    <n v="2"/>
    <n v="2"/>
    <x v="1"/>
    <x v="1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x v="0"/>
    <n v="72"/>
    <n v="3"/>
    <n v="4"/>
    <x v="5"/>
    <x v="0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x v="0"/>
    <n v="47"/>
    <n v="4"/>
    <n v="1"/>
    <x v="1"/>
    <x v="2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x v="1"/>
    <n v="71"/>
    <n v="3"/>
    <n v="1"/>
    <x v="1"/>
    <x v="0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x v="1"/>
    <n v="42"/>
    <n v="3"/>
    <n v="5"/>
    <x v="7"/>
    <x v="0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x v="1"/>
    <n v="77"/>
    <n v="3"/>
    <n v="2"/>
    <x v="0"/>
    <x v="0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x v="0"/>
    <n v="58"/>
    <n v="2"/>
    <n v="1"/>
    <x v="8"/>
    <x v="1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x v="1"/>
    <n v="71"/>
    <n v="3"/>
    <n v="2"/>
    <x v="0"/>
    <x v="3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x v="1"/>
    <n v="49"/>
    <n v="3"/>
    <n v="1"/>
    <x v="1"/>
    <x v="2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x v="1"/>
    <n v="48"/>
    <n v="3"/>
    <n v="1"/>
    <x v="1"/>
    <x v="3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x v="1"/>
    <n v="66"/>
    <n v="4"/>
    <n v="1"/>
    <x v="2"/>
    <x v="1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x v="1"/>
    <n v="32"/>
    <n v="3"/>
    <n v="3"/>
    <x v="0"/>
    <x v="0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x v="1"/>
    <n v="39"/>
    <n v="3"/>
    <n v="3"/>
    <x v="0"/>
    <x v="2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x v="1"/>
    <n v="95"/>
    <n v="3"/>
    <n v="1"/>
    <x v="2"/>
    <x v="3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x v="1"/>
    <n v="89"/>
    <n v="3"/>
    <n v="2"/>
    <x v="4"/>
    <x v="3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x v="0"/>
    <n v="34"/>
    <n v="3"/>
    <n v="2"/>
    <x v="4"/>
    <x v="0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x v="1"/>
    <n v="48"/>
    <n v="1"/>
    <n v="2"/>
    <x v="1"/>
    <x v="3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x v="1"/>
    <n v="32"/>
    <n v="2"/>
    <n v="1"/>
    <x v="2"/>
    <x v="0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x v="1"/>
    <n v="59"/>
    <n v="2"/>
    <n v="1"/>
    <x v="6"/>
    <x v="3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x v="0"/>
    <n v="55"/>
    <n v="3"/>
    <n v="2"/>
    <x v="0"/>
    <x v="0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x v="1"/>
    <n v="44"/>
    <n v="3"/>
    <n v="2"/>
    <x v="0"/>
    <x v="0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x v="1"/>
    <n v="56"/>
    <n v="2"/>
    <n v="2"/>
    <x v="3"/>
    <x v="0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x v="1"/>
    <n v="63"/>
    <n v="3"/>
    <n v="2"/>
    <x v="0"/>
    <x v="0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x v="1"/>
    <n v="66"/>
    <n v="3"/>
    <n v="3"/>
    <x v="0"/>
    <x v="3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x v="0"/>
    <n v="67"/>
    <n v="3"/>
    <n v="2"/>
    <x v="1"/>
    <x v="2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x v="1"/>
    <n v="36"/>
    <n v="3"/>
    <n v="2"/>
    <x v="4"/>
    <x v="2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x v="1"/>
    <n v="30"/>
    <n v="3"/>
    <n v="3"/>
    <x v="4"/>
    <x v="2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x v="1"/>
    <n v="88"/>
    <n v="3"/>
    <n v="1"/>
    <x v="8"/>
    <x v="1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x v="1"/>
    <n v="71"/>
    <n v="4"/>
    <n v="5"/>
    <x v="5"/>
    <x v="1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x v="0"/>
    <n v="59"/>
    <n v="1"/>
    <n v="1"/>
    <x v="2"/>
    <x v="0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x v="1"/>
    <n v="77"/>
    <n v="3"/>
    <n v="4"/>
    <x v="0"/>
    <x v="3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x v="1"/>
    <n v="37"/>
    <n v="2"/>
    <n v="2"/>
    <x v="1"/>
    <x v="2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x v="0"/>
    <n v="40"/>
    <n v="3"/>
    <n v="3"/>
    <x v="7"/>
    <x v="2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x v="0"/>
    <n v="77"/>
    <n v="3"/>
    <n v="2"/>
    <x v="3"/>
    <x v="3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x v="1"/>
    <n v="45"/>
    <n v="2"/>
    <n v="2"/>
    <x v="4"/>
    <x v="2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x v="1"/>
    <n v="78"/>
    <n v="3"/>
    <n v="1"/>
    <x v="2"/>
    <x v="0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x v="0"/>
    <n v="73"/>
    <n v="3"/>
    <n v="2"/>
    <x v="2"/>
    <x v="2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x v="0"/>
    <n v="92"/>
    <n v="3"/>
    <n v="2"/>
    <x v="0"/>
    <x v="1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x v="0"/>
    <n v="82"/>
    <n v="3"/>
    <n v="1"/>
    <x v="8"/>
    <x v="1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x v="1"/>
    <n v="76"/>
    <n v="3"/>
    <n v="1"/>
    <x v="2"/>
    <x v="1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x v="1"/>
    <n v="57"/>
    <n v="3"/>
    <n v="1"/>
    <x v="2"/>
    <x v="2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x v="1"/>
    <n v="84"/>
    <n v="3"/>
    <n v="3"/>
    <x v="4"/>
    <x v="2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x v="1"/>
    <n v="59"/>
    <n v="2"/>
    <n v="1"/>
    <x v="2"/>
    <x v="2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x v="1"/>
    <n v="86"/>
    <n v="3"/>
    <n v="2"/>
    <x v="0"/>
    <x v="1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x v="1"/>
    <n v="54"/>
    <n v="3"/>
    <n v="1"/>
    <x v="6"/>
    <x v="2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x v="1"/>
    <n v="72"/>
    <n v="2"/>
    <n v="2"/>
    <x v="3"/>
    <x v="2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x v="1"/>
    <n v="35"/>
    <n v="3"/>
    <n v="2"/>
    <x v="1"/>
    <x v="3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x v="1"/>
    <n v="76"/>
    <n v="3"/>
    <n v="1"/>
    <x v="1"/>
    <x v="0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x v="0"/>
    <n v="98"/>
    <n v="3"/>
    <n v="3"/>
    <x v="7"/>
    <x v="1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x v="1"/>
    <n v="43"/>
    <n v="3"/>
    <n v="1"/>
    <x v="2"/>
    <x v="2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x v="1"/>
    <n v="63"/>
    <n v="3"/>
    <n v="1"/>
    <x v="1"/>
    <x v="2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x v="1"/>
    <n v="48"/>
    <n v="3"/>
    <n v="2"/>
    <x v="1"/>
    <x v="2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x v="0"/>
    <n v="95"/>
    <n v="3"/>
    <n v="2"/>
    <x v="4"/>
    <x v="0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x v="0"/>
    <n v="49"/>
    <n v="2"/>
    <n v="1"/>
    <x v="2"/>
    <x v="1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x v="1"/>
    <n v="83"/>
    <n v="3"/>
    <n v="1"/>
    <x v="2"/>
    <x v="0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x v="1"/>
    <n v="68"/>
    <n v="2"/>
    <n v="1"/>
    <x v="6"/>
    <x v="1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x v="1"/>
    <n v="52"/>
    <n v="3"/>
    <n v="2"/>
    <x v="1"/>
    <x v="0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x v="0"/>
    <n v="99"/>
    <n v="1"/>
    <n v="3"/>
    <x v="7"/>
    <x v="2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x v="0"/>
    <n v="48"/>
    <n v="3"/>
    <n v="3"/>
    <x v="0"/>
    <x v="0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x v="0"/>
    <n v="42"/>
    <n v="4"/>
    <n v="3"/>
    <x v="7"/>
    <x v="0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x v="0"/>
    <n v="85"/>
    <n v="3"/>
    <n v="2"/>
    <x v="0"/>
    <x v="2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x v="1"/>
    <n v="40"/>
    <n v="3"/>
    <n v="1"/>
    <x v="6"/>
    <x v="0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x v="1"/>
    <n v="42"/>
    <n v="3"/>
    <n v="1"/>
    <x v="1"/>
    <x v="0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x v="1"/>
    <n v="58"/>
    <n v="3"/>
    <n v="1"/>
    <x v="6"/>
    <x v="3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x v="1"/>
    <n v="87"/>
    <n v="3"/>
    <n v="5"/>
    <x v="5"/>
    <x v="0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x v="1"/>
    <n v="33"/>
    <n v="3"/>
    <n v="1"/>
    <x v="6"/>
    <x v="3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x v="0"/>
    <n v="94"/>
    <n v="2"/>
    <n v="3"/>
    <x v="0"/>
    <x v="0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x v="0"/>
    <n v="97"/>
    <n v="3"/>
    <n v="2"/>
    <x v="3"/>
    <x v="1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x v="1"/>
    <n v="57"/>
    <n v="3"/>
    <n v="2"/>
    <x v="4"/>
    <x v="2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x v="1"/>
    <n v="36"/>
    <n v="3"/>
    <n v="1"/>
    <x v="1"/>
    <x v="0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x v="1"/>
    <n v="56"/>
    <n v="3"/>
    <n v="5"/>
    <x v="5"/>
    <x v="2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x v="1"/>
    <n v="72"/>
    <n v="3"/>
    <n v="1"/>
    <x v="2"/>
    <x v="2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x v="0"/>
    <n v="60"/>
    <n v="2"/>
    <n v="4"/>
    <x v="3"/>
    <x v="1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x v="0"/>
    <n v="95"/>
    <n v="2"/>
    <n v="2"/>
    <x v="0"/>
    <x v="2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x v="1"/>
    <n v="88"/>
    <n v="1"/>
    <n v="2"/>
    <x v="0"/>
    <x v="0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x v="1"/>
    <n v="57"/>
    <n v="2"/>
    <n v="2"/>
    <x v="0"/>
    <x v="1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x v="1"/>
    <n v="78"/>
    <n v="3"/>
    <n v="1"/>
    <x v="1"/>
    <x v="3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x v="0"/>
    <n v="31"/>
    <n v="3"/>
    <n v="3"/>
    <x v="8"/>
    <x v="0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x v="0"/>
    <n v="100"/>
    <n v="3"/>
    <n v="2"/>
    <x v="0"/>
    <x v="0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x v="1"/>
    <n v="94"/>
    <n v="3"/>
    <n v="2"/>
    <x v="0"/>
    <x v="2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x v="0"/>
    <n v="100"/>
    <n v="2"/>
    <n v="2"/>
    <x v="0"/>
    <x v="0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x v="0"/>
    <n v="50"/>
    <n v="3"/>
    <n v="2"/>
    <x v="0"/>
    <x v="2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x v="1"/>
    <n v="52"/>
    <n v="2"/>
    <n v="1"/>
    <x v="1"/>
    <x v="2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x v="1"/>
    <n v="80"/>
    <n v="3"/>
    <n v="2"/>
    <x v="4"/>
    <x v="2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x v="0"/>
    <n v="98"/>
    <n v="3"/>
    <n v="1"/>
    <x v="1"/>
    <x v="2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x v="0"/>
    <n v="62"/>
    <n v="1"/>
    <n v="1"/>
    <x v="1"/>
    <x v="0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x v="1"/>
    <n v="46"/>
    <n v="2"/>
    <n v="2"/>
    <x v="2"/>
    <x v="1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x v="0"/>
    <n v="73"/>
    <n v="2"/>
    <n v="1"/>
    <x v="1"/>
    <x v="3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x v="1"/>
    <n v="39"/>
    <n v="2"/>
    <n v="3"/>
    <x v="0"/>
    <x v="3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x v="0"/>
    <n v="60"/>
    <n v="2"/>
    <n v="4"/>
    <x v="0"/>
    <x v="0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x v="1"/>
    <n v="74"/>
    <n v="3"/>
    <n v="2"/>
    <x v="3"/>
    <x v="3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x v="0"/>
    <n v="30"/>
    <n v="2"/>
    <n v="1"/>
    <x v="6"/>
    <x v="2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x v="1"/>
    <n v="41"/>
    <n v="4"/>
    <n v="2"/>
    <x v="2"/>
    <x v="0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x v="1"/>
    <n v="42"/>
    <n v="2"/>
    <n v="3"/>
    <x v="4"/>
    <x v="3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x v="1"/>
    <n v="87"/>
    <n v="4"/>
    <n v="2"/>
    <x v="3"/>
    <x v="1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x v="1"/>
    <n v="63"/>
    <n v="2"/>
    <n v="2"/>
    <x v="0"/>
    <x v="1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x v="1"/>
    <n v="82"/>
    <n v="4"/>
    <n v="2"/>
    <x v="2"/>
    <x v="2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8B608-38C5-40C7-8546-AA381EBFE0D9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8:D6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46">
    <format dxfId="291">
      <pivotArea type="all" dataOnly="0" outline="0" fieldPosition="0"/>
    </format>
    <format dxfId="290">
      <pivotArea outline="0" collapsedLevelsAreSubtotals="1" fieldPosition="0"/>
    </format>
    <format dxfId="289">
      <pivotArea type="origin" dataOnly="0" labelOnly="1" outline="0" fieldPosition="0"/>
    </format>
    <format dxfId="288">
      <pivotArea field="1" type="button" dataOnly="0" labelOnly="1" outline="0" axis="axisCol" fieldPosition="0"/>
    </format>
    <format dxfId="287">
      <pivotArea type="topRight" dataOnly="0" labelOnly="1" outline="0" fieldPosition="0"/>
    </format>
    <format dxfId="286">
      <pivotArea field="16" type="button" dataOnly="0" labelOnly="1" outline="0" axis="axisRow" fieldPosition="0"/>
    </format>
    <format dxfId="285">
      <pivotArea dataOnly="0" labelOnly="1" fieldPosition="0">
        <references count="1">
          <reference field="16" count="0"/>
        </references>
      </pivotArea>
    </format>
    <format dxfId="284">
      <pivotArea dataOnly="0" labelOnly="1" grandRow="1" outline="0" fieldPosition="0"/>
    </format>
    <format dxfId="283">
      <pivotArea dataOnly="0" labelOnly="1" fieldPosition="0">
        <references count="1">
          <reference field="1" count="0"/>
        </references>
      </pivotArea>
    </format>
    <format dxfId="282">
      <pivotArea dataOnly="0" labelOnly="1" grandCol="1" outline="0" fieldPosition="0"/>
    </format>
    <format dxfId="227">
      <pivotArea type="all" dataOnly="0" outline="0" fieldPosition="0"/>
    </format>
    <format dxfId="226">
      <pivotArea outline="0" collapsedLevelsAreSubtotals="1" fieldPosition="0"/>
    </format>
    <format dxfId="225">
      <pivotArea type="origin" dataOnly="0" labelOnly="1" outline="0" fieldPosition="0"/>
    </format>
    <format dxfId="224">
      <pivotArea field="1" type="button" dataOnly="0" labelOnly="1" outline="0" axis="axisCol" fieldPosition="0"/>
    </format>
    <format dxfId="223">
      <pivotArea type="topRight" dataOnly="0" labelOnly="1" outline="0" fieldPosition="0"/>
    </format>
    <format dxfId="222">
      <pivotArea field="16" type="button" dataOnly="0" labelOnly="1" outline="0" axis="axisRow" fieldPosition="0"/>
    </format>
    <format dxfId="221">
      <pivotArea dataOnly="0" labelOnly="1" fieldPosition="0">
        <references count="1">
          <reference field="16" count="0"/>
        </references>
      </pivotArea>
    </format>
    <format dxfId="220">
      <pivotArea dataOnly="0" labelOnly="1" grandRow="1" outline="0" fieldPosition="0"/>
    </format>
    <format dxfId="219">
      <pivotArea dataOnly="0" labelOnly="1" fieldPosition="0">
        <references count="1">
          <reference field="1" count="0"/>
        </references>
      </pivotArea>
    </format>
    <format dxfId="218">
      <pivotArea dataOnly="0" labelOnly="1" grandCol="1" outline="0" fieldPosition="0"/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type="origin" dataOnly="0" labelOnly="1" outline="0" fieldPosition="0"/>
    </format>
    <format dxfId="160">
      <pivotArea field="1" type="button" dataOnly="0" labelOnly="1" outline="0" axis="axisCol" fieldPosition="0"/>
    </format>
    <format dxfId="159">
      <pivotArea type="topRight" dataOnly="0" labelOnly="1" outline="0" fieldPosition="0"/>
    </format>
    <format dxfId="158">
      <pivotArea field="16" type="button" dataOnly="0" labelOnly="1" outline="0" axis="axisRow" fieldPosition="0"/>
    </format>
    <format dxfId="157">
      <pivotArea dataOnly="0" labelOnly="1" fieldPosition="0">
        <references count="1">
          <reference field="16" count="0"/>
        </references>
      </pivotArea>
    </format>
    <format dxfId="156">
      <pivotArea dataOnly="0" labelOnly="1" grandRow="1" outline="0" fieldPosition="0"/>
    </format>
    <format dxfId="155">
      <pivotArea dataOnly="0" labelOnly="1" fieldPosition="0">
        <references count="1">
          <reference field="1" count="0"/>
        </references>
      </pivotArea>
    </format>
    <format dxfId="154">
      <pivotArea dataOnly="0" labelOnly="1" grandCol="1" outline="0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1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16" type="button" dataOnly="0" labelOnly="1" outline="0" axis="axisRow" fieldPosition="0"/>
    </format>
    <format dxfId="93">
      <pivotArea dataOnly="0" labelOnly="1" fieldPosition="0">
        <references count="1">
          <reference field="16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1" count="0"/>
        </references>
      </pivotArea>
    </format>
    <format dxfId="90">
      <pivotArea dataOnly="0" labelOnly="1" grandCol="1" outline="0" fieldPosition="0"/>
    </format>
    <format dxfId="5">
      <pivotArea type="origin" dataOnly="0" labelOnly="1" outline="0" fieldPosition="0"/>
    </format>
    <format dxfId="4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16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39710-D21B-430A-986A-0E1216797312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55" firstHeaderRow="1" firstDataRow="1" firstDataCol="1"/>
  <pivotFields count="35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ge" fld="0" subtotal="average" baseField="4" baseItem="0"/>
  </dataFields>
  <formats count="26">
    <format dxfId="281">
      <pivotArea type="all" dataOnly="0" outline="0" fieldPosition="0"/>
    </format>
    <format dxfId="280">
      <pivotArea outline="0" collapsedLevelsAreSubtotals="1" fieldPosition="0"/>
    </format>
    <format dxfId="279">
      <pivotArea field="4" type="button" dataOnly="0" labelOnly="1" outline="0" axis="axisRow" fieldPosition="0"/>
    </format>
    <format dxfId="278">
      <pivotArea dataOnly="0" labelOnly="1" fieldPosition="0">
        <references count="1">
          <reference field="4" count="0"/>
        </references>
      </pivotArea>
    </format>
    <format dxfId="277">
      <pivotArea dataOnly="0" labelOnly="1" grandRow="1" outline="0" fieldPosition="0"/>
    </format>
    <format dxfId="276">
      <pivotArea dataOnly="0" labelOnly="1" outline="0" axis="axisValues" fieldPosition="0"/>
    </format>
    <format dxfId="217">
      <pivotArea type="all" dataOnly="0" outline="0" fieldPosition="0"/>
    </format>
    <format dxfId="216">
      <pivotArea outline="0" collapsedLevelsAreSubtotals="1" fieldPosition="0"/>
    </format>
    <format dxfId="215">
      <pivotArea field="4" type="button" dataOnly="0" labelOnly="1" outline="0" axis="axisRow" fieldPosition="0"/>
    </format>
    <format dxfId="214">
      <pivotArea dataOnly="0" labelOnly="1" fieldPosition="0">
        <references count="1">
          <reference field="4" count="0"/>
        </references>
      </pivotArea>
    </format>
    <format dxfId="213">
      <pivotArea dataOnly="0" labelOnly="1" grandRow="1" outline="0" fieldPosition="0"/>
    </format>
    <format dxfId="212">
      <pivotArea dataOnly="0" labelOnly="1" outline="0" axis="axisValues" fieldPosition="0"/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4" type="button" dataOnly="0" labelOnly="1" outline="0" axis="axisRow" fieldPosition="0"/>
    </format>
    <format dxfId="150">
      <pivotArea dataOnly="0" labelOnly="1" fieldPosition="0">
        <references count="1">
          <reference field="4" count="0"/>
        </references>
      </pivotArea>
    </format>
    <format dxfId="149">
      <pivotArea dataOnly="0" labelOnly="1" grandRow="1" outline="0" fieldPosition="0"/>
    </format>
    <format dxfId="148">
      <pivotArea dataOnly="0" labelOnly="1" outline="0" axis="axisValues" fieldPosition="0"/>
    </format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  <format dxfId="8">
      <pivotArea field="4" type="button" dataOnly="0" labelOnly="1" outline="0" axis="axisRow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5B4EE-5EFF-44F3-84AA-B162F4EB5881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B48" firstHeaderRow="1" firstDataRow="1" firstDataCol="1"/>
  <pivotFields count="35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MonthlyIncome" fld="18" subtotal="average" baseField="4" baseItem="0"/>
  </dataFields>
  <formats count="26">
    <format dxfId="274">
      <pivotArea type="all" dataOnly="0" outline="0" fieldPosition="0"/>
    </format>
    <format dxfId="273">
      <pivotArea outline="0" collapsedLevelsAreSubtotals="1" fieldPosition="0"/>
    </format>
    <format dxfId="272">
      <pivotArea field="4" type="button" dataOnly="0" labelOnly="1" outline="0" axis="axisRow" fieldPosition="0"/>
    </format>
    <format dxfId="271">
      <pivotArea dataOnly="0" labelOnly="1" fieldPosition="0">
        <references count="1">
          <reference field="4" count="0"/>
        </references>
      </pivotArea>
    </format>
    <format dxfId="270">
      <pivotArea dataOnly="0" labelOnly="1" grandRow="1" outline="0" fieldPosition="0"/>
    </format>
    <format dxfId="269">
      <pivotArea dataOnly="0" labelOnly="1" outline="0" axis="axisValues" fieldPosition="0"/>
    </format>
    <format dxfId="210">
      <pivotArea type="all" dataOnly="0" outline="0" fieldPosition="0"/>
    </format>
    <format dxfId="209">
      <pivotArea outline="0" collapsedLevelsAreSubtotals="1" fieldPosition="0"/>
    </format>
    <format dxfId="208">
      <pivotArea field="4" type="button" dataOnly="0" labelOnly="1" outline="0" axis="axisRow" fieldPosition="0"/>
    </format>
    <format dxfId="207">
      <pivotArea dataOnly="0" labelOnly="1" fieldPosition="0">
        <references count="1">
          <reference field="4" count="0"/>
        </references>
      </pivotArea>
    </format>
    <format dxfId="206">
      <pivotArea dataOnly="0" labelOnly="1" grandRow="1" outline="0" fieldPosition="0"/>
    </format>
    <format dxfId="205">
      <pivotArea dataOnly="0" labelOnly="1" outline="0" axis="axisValues" fieldPosition="0"/>
    </format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4" type="button" dataOnly="0" labelOnly="1" outline="0" axis="axisRow" fieldPosition="0"/>
    </format>
    <format dxfId="143">
      <pivotArea dataOnly="0" labelOnly="1" fieldPosition="0">
        <references count="1">
          <reference field="4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4" type="button" dataOnly="0" labelOnly="1" outline="0" axis="axisRow" fieldPosition="0"/>
    </format>
    <format dxfId="79">
      <pivotArea dataOnly="0" labelOnly="1" fieldPosition="0">
        <references count="1">
          <reference field="4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  <format dxfId="11">
      <pivotArea field="4" type="button" dataOnly="0" labelOnly="1" outline="0" axis="axisRow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00A0C-BD1C-4526-B87B-61EE2823C4BC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7:D41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46">
    <format dxfId="267">
      <pivotArea type="all" dataOnly="0" outline="0" fieldPosition="0"/>
    </format>
    <format dxfId="266">
      <pivotArea outline="0" collapsedLevelsAreSubtotals="1" fieldPosition="0"/>
    </format>
    <format dxfId="265">
      <pivotArea type="origin" dataOnly="0" labelOnly="1" outline="0" fieldPosition="0"/>
    </format>
    <format dxfId="264">
      <pivotArea field="1" type="button" dataOnly="0" labelOnly="1" outline="0" axis="axisCol" fieldPosition="0"/>
    </format>
    <format dxfId="263">
      <pivotArea type="topRight" dataOnly="0" labelOnly="1" outline="0" fieldPosition="0"/>
    </format>
    <format dxfId="262">
      <pivotArea field="22" type="button" dataOnly="0" labelOnly="1" outline="0" axis="axisRow" fieldPosition="0"/>
    </format>
    <format dxfId="261">
      <pivotArea dataOnly="0" labelOnly="1" fieldPosition="0">
        <references count="1">
          <reference field="22" count="0"/>
        </references>
      </pivotArea>
    </format>
    <format dxfId="260">
      <pivotArea dataOnly="0" labelOnly="1" grandRow="1" outline="0" fieldPosition="0"/>
    </format>
    <format dxfId="259">
      <pivotArea dataOnly="0" labelOnly="1" fieldPosition="0">
        <references count="1">
          <reference field="1" count="0"/>
        </references>
      </pivotArea>
    </format>
    <format dxfId="258">
      <pivotArea dataOnly="0" labelOnly="1" grandCol="1" outline="0" fieldPosition="0"/>
    </format>
    <format dxfId="203">
      <pivotArea type="all" dataOnly="0" outline="0" fieldPosition="0"/>
    </format>
    <format dxfId="202">
      <pivotArea outline="0" collapsedLevelsAreSubtotals="1" fieldPosition="0"/>
    </format>
    <format dxfId="201">
      <pivotArea type="origin" dataOnly="0" labelOnly="1" outline="0" fieldPosition="0"/>
    </format>
    <format dxfId="200">
      <pivotArea field="1" type="button" dataOnly="0" labelOnly="1" outline="0" axis="axisCol" fieldPosition="0"/>
    </format>
    <format dxfId="199">
      <pivotArea type="topRight" dataOnly="0" labelOnly="1" outline="0" fieldPosition="0"/>
    </format>
    <format dxfId="198">
      <pivotArea field="22" type="button" dataOnly="0" labelOnly="1" outline="0" axis="axisRow" fieldPosition="0"/>
    </format>
    <format dxfId="197">
      <pivotArea dataOnly="0" labelOnly="1" fieldPosition="0">
        <references count="1">
          <reference field="22" count="0"/>
        </references>
      </pivotArea>
    </format>
    <format dxfId="196">
      <pivotArea dataOnly="0" labelOnly="1" grandRow="1" outline="0" fieldPosition="0"/>
    </format>
    <format dxfId="195">
      <pivotArea dataOnly="0" labelOnly="1" fieldPosition="0">
        <references count="1">
          <reference field="1" count="0"/>
        </references>
      </pivotArea>
    </format>
    <format dxfId="194">
      <pivotArea dataOnly="0" labelOnly="1" grandCol="1" outline="0" fieldPosition="0"/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type="origin" dataOnly="0" labelOnly="1" outline="0" fieldPosition="0"/>
    </format>
    <format dxfId="136">
      <pivotArea field="1" type="button" dataOnly="0" labelOnly="1" outline="0" axis="axisCol" fieldPosition="0"/>
    </format>
    <format dxfId="135">
      <pivotArea type="topRight" dataOnly="0" labelOnly="1" outline="0" fieldPosition="0"/>
    </format>
    <format dxfId="134">
      <pivotArea field="22" type="button" dataOnly="0" labelOnly="1" outline="0" axis="axisRow" fieldPosition="0"/>
    </format>
    <format dxfId="133">
      <pivotArea dataOnly="0" labelOnly="1" fieldPosition="0">
        <references count="1">
          <reference field="22" count="0"/>
        </references>
      </pivotArea>
    </format>
    <format dxfId="132">
      <pivotArea dataOnly="0" labelOnly="1" grandRow="1" outline="0" fieldPosition="0"/>
    </format>
    <format dxfId="131">
      <pivotArea dataOnly="0" labelOnly="1" fieldPosition="0">
        <references count="1">
          <reference field="1" count="0"/>
        </references>
      </pivotArea>
    </format>
    <format dxfId="130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1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22" type="button" dataOnly="0" labelOnly="1" outline="0" axis="axisRow" fieldPosition="0"/>
    </format>
    <format dxfId="69">
      <pivotArea dataOnly="0" labelOnly="1" fieldPosition="0">
        <references count="1">
          <reference field="22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1" count="0"/>
        </references>
      </pivotArea>
    </format>
    <format dxfId="66">
      <pivotArea dataOnly="0" labelOnly="1" grandCol="1" outline="0" fieldPosition="0"/>
    </format>
    <format dxfId="17">
      <pivotArea type="origin" dataOnly="0" labelOnly="1" outline="0" fieldPosition="0"/>
    </format>
    <format dxfId="16">
      <pivotArea field="1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22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03788-3EFB-4161-AECA-A202E11D5C13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:D3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46">
    <format dxfId="257">
      <pivotArea type="all" dataOnly="0" outline="0" fieldPosition="0"/>
    </format>
    <format dxfId="256">
      <pivotArea outline="0" collapsedLevelsAreSubtotals="1" fieldPosition="0"/>
    </format>
    <format dxfId="255">
      <pivotArea type="origin" dataOnly="0" labelOnly="1" outline="0" fieldPosition="0"/>
    </format>
    <format dxfId="254">
      <pivotArea field="1" type="button" dataOnly="0" labelOnly="1" outline="0" axis="axisCol" fieldPosition="0"/>
    </format>
    <format dxfId="253">
      <pivotArea type="topRight" dataOnly="0" labelOnly="1" outline="0" fieldPosition="0"/>
    </format>
    <format dxfId="252">
      <pivotArea field="15" type="button" dataOnly="0" labelOnly="1" outline="0" axis="axisRow" fieldPosition="0"/>
    </format>
    <format dxfId="251">
      <pivotArea dataOnly="0" labelOnly="1" fieldPosition="0">
        <references count="1">
          <reference field="15" count="0"/>
        </references>
      </pivotArea>
    </format>
    <format dxfId="250">
      <pivotArea dataOnly="0" labelOnly="1" grandRow="1" outline="0" fieldPosition="0"/>
    </format>
    <format dxfId="249">
      <pivotArea dataOnly="0" labelOnly="1" fieldPosition="0">
        <references count="1">
          <reference field="1" count="0"/>
        </references>
      </pivotArea>
    </format>
    <format dxfId="248">
      <pivotArea dataOnly="0" labelOnly="1" grandCol="1" outline="0" fieldPosition="0"/>
    </format>
    <format dxfId="193">
      <pivotArea type="all" dataOnly="0" outline="0" fieldPosition="0"/>
    </format>
    <format dxfId="192">
      <pivotArea outline="0" collapsedLevelsAreSubtotals="1" fieldPosition="0"/>
    </format>
    <format dxfId="191">
      <pivotArea type="origin" dataOnly="0" labelOnly="1" outline="0" fieldPosition="0"/>
    </format>
    <format dxfId="190">
      <pivotArea field="1" type="button" dataOnly="0" labelOnly="1" outline="0" axis="axisCol" fieldPosition="0"/>
    </format>
    <format dxfId="189">
      <pivotArea type="topRight" dataOnly="0" labelOnly="1" outline="0" fieldPosition="0"/>
    </format>
    <format dxfId="188">
      <pivotArea field="15" type="button" dataOnly="0" labelOnly="1" outline="0" axis="axisRow" fieldPosition="0"/>
    </format>
    <format dxfId="187">
      <pivotArea dataOnly="0" labelOnly="1" fieldPosition="0">
        <references count="1">
          <reference field="15" count="0"/>
        </references>
      </pivotArea>
    </format>
    <format dxfId="186">
      <pivotArea dataOnly="0" labelOnly="1" grandRow="1" outline="0" fieldPosition="0"/>
    </format>
    <format dxfId="185">
      <pivotArea dataOnly="0" labelOnly="1" fieldPosition="0">
        <references count="1">
          <reference field="1" count="0"/>
        </references>
      </pivotArea>
    </format>
    <format dxfId="184">
      <pivotArea dataOnly="0" labelOnly="1" grandCol="1" outline="0" fieldPosition="0"/>
    </format>
    <format dxfId="129">
      <pivotArea type="all" dataOnly="0" outline="0" fieldPosition="0"/>
    </format>
    <format dxfId="128">
      <pivotArea outline="0" collapsedLevelsAreSubtotals="1" fieldPosition="0"/>
    </format>
    <format dxfId="127">
      <pivotArea type="origin" dataOnly="0" labelOnly="1" outline="0" fieldPosition="0"/>
    </format>
    <format dxfId="126">
      <pivotArea field="1" type="button" dataOnly="0" labelOnly="1" outline="0" axis="axisCol" fieldPosition="0"/>
    </format>
    <format dxfId="125">
      <pivotArea type="topRight" dataOnly="0" labelOnly="1" outline="0" fieldPosition="0"/>
    </format>
    <format dxfId="124">
      <pivotArea field="15" type="button" dataOnly="0" labelOnly="1" outline="0" axis="axisRow" fieldPosition="0"/>
    </format>
    <format dxfId="123">
      <pivotArea dataOnly="0" labelOnly="1" fieldPosition="0">
        <references count="1">
          <reference field="15" count="0"/>
        </references>
      </pivotArea>
    </format>
    <format dxfId="122">
      <pivotArea dataOnly="0" labelOnly="1" grandRow="1" outline="0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grandCol="1" outline="0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type="origin" dataOnly="0" labelOnly="1" outline="0" fieldPosition="0"/>
    </format>
    <format dxfId="62">
      <pivotArea field="1" type="button" dataOnly="0" labelOnly="1" outline="0" axis="axisCol" fieldPosition="0"/>
    </format>
    <format dxfId="61">
      <pivotArea type="topRight" dataOnly="0" labelOnly="1" outline="0" fieldPosition="0"/>
    </format>
    <format dxfId="60">
      <pivotArea field="15" type="button" dataOnly="0" labelOnly="1" outline="0" axis="axisRow" fieldPosition="0"/>
    </format>
    <format dxfId="59">
      <pivotArea dataOnly="0" labelOnly="1" fieldPosition="0">
        <references count="1">
          <reference field="15" count="0"/>
        </references>
      </pivotArea>
    </format>
    <format dxfId="58">
      <pivotArea dataOnly="0" labelOnly="1" grandRow="1" outline="0" fieldPosition="0"/>
    </format>
    <format dxfId="57">
      <pivotArea dataOnly="0" labelOnly="1" fieldPosition="0">
        <references count="1">
          <reference field="1" count="0"/>
        </references>
      </pivotArea>
    </format>
    <format dxfId="56">
      <pivotArea dataOnly="0" labelOnly="1" grandCol="1" outline="0" fieldPosition="0"/>
    </format>
    <format dxfId="23">
      <pivotArea type="origin" dataOnly="0" labelOnly="1" outline="0" fieldPosition="0"/>
    </format>
    <format dxfId="22">
      <pivotArea field="1" type="button" dataOnly="0" labelOnly="1" outline="0" axis="axisCol" fieldPosition="0"/>
    </format>
    <format dxfId="21">
      <pivotArea type="topRight" dataOnly="0" labelOnly="1" outline="0" fieldPosition="0"/>
    </format>
    <format dxfId="20">
      <pivotArea field="15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1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FBB15-E4FE-44EC-8CB8-0D5C3AFF04F3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0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46">
    <format dxfId="247">
      <pivotArea type="all" dataOnly="0" outline="0" fieldPosition="0"/>
    </format>
    <format dxfId="246">
      <pivotArea outline="0" collapsedLevelsAreSubtotals="1" fieldPosition="0"/>
    </format>
    <format dxfId="245">
      <pivotArea type="origin" dataOnly="0" labelOnly="1" outline="0" fieldPosition="0"/>
    </format>
    <format dxfId="244">
      <pivotArea field="1" type="button" dataOnly="0" labelOnly="1" outline="0" axis="axisCol" fieldPosition="0"/>
    </format>
    <format dxfId="243">
      <pivotArea type="topRight" dataOnly="0" labelOnly="1" outline="0" fieldPosition="0"/>
    </format>
    <format dxfId="242">
      <pivotArea field="11" type="button" dataOnly="0" labelOnly="1" outline="0" axis="axisRow" fieldPosition="0"/>
    </format>
    <format dxfId="241">
      <pivotArea dataOnly="0" labelOnly="1" fieldPosition="0">
        <references count="1">
          <reference field="11" count="0"/>
        </references>
      </pivotArea>
    </format>
    <format dxfId="240">
      <pivotArea dataOnly="0" labelOnly="1" grandRow="1" outline="0" fieldPosition="0"/>
    </format>
    <format dxfId="239">
      <pivotArea dataOnly="0" labelOnly="1" fieldPosition="0">
        <references count="1">
          <reference field="1" count="0"/>
        </references>
      </pivotArea>
    </format>
    <format dxfId="238">
      <pivotArea dataOnly="0" labelOnly="1" grandCol="1" outline="0" fieldPosition="0"/>
    </format>
    <format dxfId="183">
      <pivotArea type="all" dataOnly="0" outline="0" fieldPosition="0"/>
    </format>
    <format dxfId="182">
      <pivotArea outline="0" collapsedLevelsAreSubtotals="1" fieldPosition="0"/>
    </format>
    <format dxfId="181">
      <pivotArea type="origin" dataOnly="0" labelOnly="1" outline="0" fieldPosition="0"/>
    </format>
    <format dxfId="180">
      <pivotArea field="1" type="button" dataOnly="0" labelOnly="1" outline="0" axis="axisCol" fieldPosition="0"/>
    </format>
    <format dxfId="179">
      <pivotArea type="topRight" dataOnly="0" labelOnly="1" outline="0" fieldPosition="0"/>
    </format>
    <format dxfId="178">
      <pivotArea field="11" type="button" dataOnly="0" labelOnly="1" outline="0" axis="axisRow" fieldPosition="0"/>
    </format>
    <format dxfId="177">
      <pivotArea dataOnly="0" labelOnly="1" fieldPosition="0">
        <references count="1">
          <reference field="11" count="0"/>
        </references>
      </pivotArea>
    </format>
    <format dxfId="176">
      <pivotArea dataOnly="0" labelOnly="1" grandRow="1" outline="0" fieldPosition="0"/>
    </format>
    <format dxfId="175">
      <pivotArea dataOnly="0" labelOnly="1" fieldPosition="0">
        <references count="1">
          <reference field="1" count="0"/>
        </references>
      </pivotArea>
    </format>
    <format dxfId="174">
      <pivotArea dataOnly="0" labelOnly="1" grandCol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type="origin" dataOnly="0" labelOnly="1" outline="0" fieldPosition="0"/>
    </format>
    <format dxfId="116">
      <pivotArea field="1" type="button" dataOnly="0" labelOnly="1" outline="0" axis="axisCol" fieldPosition="0"/>
    </format>
    <format dxfId="115">
      <pivotArea type="topRight" dataOnly="0" labelOnly="1" outline="0" fieldPosition="0"/>
    </format>
    <format dxfId="114">
      <pivotArea field="11" type="button" dataOnly="0" labelOnly="1" outline="0" axis="axisRow" fieldPosition="0"/>
    </format>
    <format dxfId="113">
      <pivotArea dataOnly="0" labelOnly="1" fieldPosition="0">
        <references count="1">
          <reference field="11" count="0"/>
        </references>
      </pivotArea>
    </format>
    <format dxfId="112">
      <pivotArea dataOnly="0" labelOnly="1" grandRow="1" outline="0" fieldPosition="0"/>
    </format>
    <format dxfId="111">
      <pivotArea dataOnly="0" labelOnly="1" fieldPosition="0">
        <references count="1">
          <reference field="1" count="0"/>
        </references>
      </pivotArea>
    </format>
    <format dxfId="110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11" type="button" dataOnly="0" labelOnly="1" outline="0" axis="axisRow" fieldPosition="0"/>
    </format>
    <format dxfId="49">
      <pivotArea dataOnly="0" labelOnly="1" fieldPosition="0">
        <references count="1">
          <reference field="11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" count="0"/>
        </references>
      </pivotArea>
    </format>
    <format dxfId="46">
      <pivotArea dataOnly="0" labelOnly="1" grandCol="1" outline="0" fieldPosition="0"/>
    </format>
    <format dxfId="29">
      <pivotArea type="origin" dataOnly="0" labelOnly="1" outline="0" fieldPosition="0"/>
    </format>
    <format dxfId="28">
      <pivotArea field="1" type="button" dataOnly="0" labelOnly="1" outline="0" axis="axisCol" fieldPosition="0"/>
    </format>
    <format dxfId="27">
      <pivotArea type="topRight" dataOnly="0" labelOnly="1" outline="0" fieldPosition="0"/>
    </format>
    <format dxfId="26">
      <pivotArea field="1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201AE-89C5-4482-BFD1-13E9C1712443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D13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baseField="0" baseItem="0"/>
  </dataFields>
  <formats count="46">
    <format dxfId="237">
      <pivotArea type="all" dataOnly="0" outline="0" fieldPosition="0"/>
    </format>
    <format dxfId="236">
      <pivotArea outline="0" collapsedLevelsAreSubtotals="1" fieldPosition="0"/>
    </format>
    <format dxfId="235">
      <pivotArea type="origin" dataOnly="0" labelOnly="1" outline="0" fieldPosition="0"/>
    </format>
    <format dxfId="234">
      <pivotArea field="1" type="button" dataOnly="0" labelOnly="1" outline="0" axis="axisCol" fieldPosition="0"/>
    </format>
    <format dxfId="233">
      <pivotArea type="topRight" dataOnly="0" labelOnly="1" outline="0" fieldPosition="0"/>
    </format>
    <format dxfId="232">
      <pivotArea field="4" type="button" dataOnly="0" labelOnly="1" outline="0" axis="axisRow" fieldPosition="0"/>
    </format>
    <format dxfId="231">
      <pivotArea dataOnly="0" labelOnly="1" fieldPosition="0">
        <references count="1">
          <reference field="4" count="0"/>
        </references>
      </pivotArea>
    </format>
    <format dxfId="230">
      <pivotArea dataOnly="0" labelOnly="1" grandRow="1" outline="0" fieldPosition="0"/>
    </format>
    <format dxfId="229">
      <pivotArea dataOnly="0" labelOnly="1" fieldPosition="0">
        <references count="1">
          <reference field="1" count="0"/>
        </references>
      </pivotArea>
    </format>
    <format dxfId="228">
      <pivotArea dataOnly="0" labelOnly="1" grandCol="1" outline="0" fieldPosition="0"/>
    </format>
    <format dxfId="173">
      <pivotArea type="all" dataOnly="0" outline="0" fieldPosition="0"/>
    </format>
    <format dxfId="172">
      <pivotArea outline="0" collapsedLevelsAreSubtotals="1" fieldPosition="0"/>
    </format>
    <format dxfId="171">
      <pivotArea type="origin" dataOnly="0" labelOnly="1" outline="0" fieldPosition="0"/>
    </format>
    <format dxfId="170">
      <pivotArea field="1" type="button" dataOnly="0" labelOnly="1" outline="0" axis="axisCol" fieldPosition="0"/>
    </format>
    <format dxfId="169">
      <pivotArea type="topRight" dataOnly="0" labelOnly="1" outline="0" fieldPosition="0"/>
    </format>
    <format dxfId="168">
      <pivotArea field="4" type="button" dataOnly="0" labelOnly="1" outline="0" axis="axisRow" fieldPosition="0"/>
    </format>
    <format dxfId="167">
      <pivotArea dataOnly="0" labelOnly="1" fieldPosition="0">
        <references count="1">
          <reference field="4" count="0"/>
        </references>
      </pivotArea>
    </format>
    <format dxfId="166">
      <pivotArea dataOnly="0" labelOnly="1" grandRow="1" outline="0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Col="1" outline="0" fieldPosition="0"/>
    </format>
    <format dxfId="109">
      <pivotArea type="all" dataOnly="0" outline="0" fieldPosition="0"/>
    </format>
    <format dxfId="108">
      <pivotArea outline="0" collapsedLevelsAreSubtotals="1" fieldPosition="0"/>
    </format>
    <format dxfId="107">
      <pivotArea type="origin" dataOnly="0" labelOnly="1" outline="0" fieldPosition="0"/>
    </format>
    <format dxfId="106">
      <pivotArea field="1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4" type="button" dataOnly="0" labelOnly="1" outline="0" axis="axisRow" fieldPosition="0"/>
    </format>
    <format dxfId="103">
      <pivotArea dataOnly="0" labelOnly="1" fieldPosition="0">
        <references count="1">
          <reference field="4" count="0"/>
        </references>
      </pivotArea>
    </format>
    <format dxfId="102">
      <pivotArea dataOnly="0" labelOnly="1" grandRow="1" outline="0" fieldPosition="0"/>
    </format>
    <format dxfId="101">
      <pivotArea dataOnly="0" labelOnly="1" fieldPosition="0">
        <references count="1">
          <reference field="1" count="0"/>
        </references>
      </pivotArea>
    </format>
    <format dxfId="100">
      <pivotArea dataOnly="0" labelOnly="1" grandCol="1" outline="0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type="origin" dataOnly="0" labelOnly="1" outline="0" fieldPosition="0"/>
    </format>
    <format dxfId="42">
      <pivotArea field="1" type="button" dataOnly="0" labelOnly="1" outline="0" axis="axisCol" fieldPosition="0"/>
    </format>
    <format dxfId="41">
      <pivotArea type="topRight" dataOnly="0" labelOnly="1" outline="0" fieldPosition="0"/>
    </format>
    <format dxfId="40">
      <pivotArea field="4" type="button" dataOnly="0" labelOnly="1" outline="0" axis="axisRow" fieldPosition="0"/>
    </format>
    <format dxfId="39">
      <pivotArea dataOnly="0" labelOnly="1" fieldPosition="0">
        <references count="1">
          <reference field="4" count="0"/>
        </references>
      </pivotArea>
    </format>
    <format dxfId="38">
      <pivotArea dataOnly="0" labelOnly="1" grandRow="1" outline="0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Col="1" outline="0" fieldPosition="0"/>
    </format>
    <format dxfId="35">
      <pivotArea type="origin" dataOnly="0" labelOnly="1" outline="0" fieldPosition="0"/>
    </format>
    <format dxfId="34">
      <pivotArea field="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1F13-5A63-43A2-877C-367CA5F5ACA2}">
  <dimension ref="A1:AI1471"/>
  <sheetViews>
    <sheetView workbookViewId="0">
      <selection activeCell="F5" sqref="F5"/>
    </sheetView>
  </sheetViews>
  <sheetFormatPr defaultRowHeight="13.8" x14ac:dyDescent="0.25"/>
  <cols>
    <col min="1" max="1" width="4" bestFit="1" customWidth="1"/>
    <col min="2" max="2" width="6.8984375" bestFit="1" customWidth="1"/>
    <col min="3" max="3" width="15.59765625" bestFit="1" customWidth="1"/>
    <col min="4" max="4" width="8.69921875" bestFit="1" customWidth="1"/>
    <col min="5" max="5" width="21.59765625" bestFit="1" customWidth="1"/>
    <col min="6" max="6" width="16.796875" bestFit="1" customWidth="1"/>
    <col min="7" max="7" width="8.8984375" bestFit="1" customWidth="1"/>
    <col min="8" max="8" width="15.796875" bestFit="1" customWidth="1"/>
    <col min="9" max="9" width="13.69921875" bestFit="1" customWidth="1"/>
    <col min="10" max="10" width="15.19921875" bestFit="1" customWidth="1"/>
    <col min="11" max="11" width="20.3984375" bestFit="1" customWidth="1"/>
    <col min="12" max="12" width="6.8984375" bestFit="1" customWidth="1"/>
    <col min="13" max="13" width="9.8984375" bestFit="1" customWidth="1"/>
    <col min="14" max="14" width="13.3984375" bestFit="1" customWidth="1"/>
    <col min="15" max="15" width="8.09765625" bestFit="1" customWidth="1"/>
    <col min="16" max="16" width="22.5" bestFit="1" customWidth="1"/>
    <col min="17" max="17" width="13.19921875" bestFit="1" customWidth="1"/>
    <col min="18" max="18" width="11.3984375" bestFit="1" customWidth="1"/>
    <col min="19" max="19" width="13" bestFit="1" customWidth="1"/>
    <col min="20" max="20" width="11" bestFit="1" customWidth="1"/>
    <col min="21" max="21" width="20" bestFit="1" customWidth="1"/>
    <col min="22" max="22" width="6.796875" bestFit="1" customWidth="1"/>
    <col min="24" max="24" width="15.8984375" bestFit="1" customWidth="1"/>
    <col min="25" max="25" width="16.3984375" bestFit="1" customWidth="1"/>
    <col min="26" max="26" width="20.296875" bestFit="1" customWidth="1"/>
    <col min="27" max="27" width="13.09765625" bestFit="1" customWidth="1"/>
    <col min="28" max="28" width="15.09765625" bestFit="1" customWidth="1"/>
    <col min="29" max="29" width="16.3984375" bestFit="1" customWidth="1"/>
    <col min="30" max="30" width="19.796875" bestFit="1" customWidth="1"/>
    <col min="31" max="31" width="14.59765625" bestFit="1" customWidth="1"/>
    <col min="32" max="32" width="14.8984375" bestFit="1" customWidth="1"/>
    <col min="33" max="33" width="16.796875" bestFit="1" customWidth="1"/>
    <col min="34" max="34" width="21.8984375" bestFit="1" customWidth="1"/>
    <col min="35" max="35" width="20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FB224-B544-4353-AC29-3DA811080944}">
  <sheetPr>
    <tabColor theme="4" tint="0.39997558519241921"/>
  </sheetPr>
  <dimension ref="A1:D65"/>
  <sheetViews>
    <sheetView showGridLines="0" tabSelected="1" workbookViewId="0">
      <selection activeCell="G27" sqref="G27"/>
    </sheetView>
  </sheetViews>
  <sheetFormatPr defaultRowHeight="14.4" x14ac:dyDescent="0.3"/>
  <cols>
    <col min="1" max="1" width="26.19921875" style="1" customWidth="1"/>
    <col min="2" max="2" width="25.3984375" style="1" customWidth="1"/>
    <col min="3" max="3" width="21.5" style="1" customWidth="1"/>
    <col min="4" max="4" width="14.796875" style="1" customWidth="1"/>
    <col min="5" max="16384" width="8.796875" style="1"/>
  </cols>
  <sheetData>
    <row r="1" spans="1:4" x14ac:dyDescent="0.3">
      <c r="A1" s="2" t="s">
        <v>62</v>
      </c>
      <c r="B1" s="2">
        <f>COUNTIF('HR-Employee-Attrition'!B2:B1471,"Yes")</f>
        <v>237</v>
      </c>
    </row>
    <row r="2" spans="1:4" x14ac:dyDescent="0.3">
      <c r="A2" s="3" t="s">
        <v>63</v>
      </c>
      <c r="B2" s="3">
        <f>COUNTIF('HR-Employee-Attrition'!B2:B1471,"No")</f>
        <v>1233</v>
      </c>
    </row>
    <row r="3" spans="1:4" x14ac:dyDescent="0.3">
      <c r="A3" s="4" t="s">
        <v>64</v>
      </c>
      <c r="B3" s="4">
        <f>COUNTA('HR-Employee-Attrition'!B2:B1471)</f>
        <v>1470</v>
      </c>
    </row>
    <row r="4" spans="1:4" x14ac:dyDescent="0.3">
      <c r="A4" s="4" t="s">
        <v>65</v>
      </c>
      <c r="B4" s="5">
        <f>B1/B3</f>
        <v>0.16122448979591836</v>
      </c>
    </row>
    <row r="5" spans="1:4" x14ac:dyDescent="0.3">
      <c r="A5" s="4" t="s">
        <v>66</v>
      </c>
      <c r="B5" s="4">
        <f>AVERAGE('HR-Employee-Attrition'!S2:S1471)</f>
        <v>6502.931292517007</v>
      </c>
    </row>
    <row r="7" spans="1:4" ht="15.6" x14ac:dyDescent="0.3">
      <c r="A7" s="9" t="s">
        <v>73</v>
      </c>
      <c r="B7" s="9"/>
      <c r="C7" s="9"/>
      <c r="D7" s="9"/>
    </row>
    <row r="8" spans="1:4" x14ac:dyDescent="0.3">
      <c r="A8" s="8" t="s">
        <v>70</v>
      </c>
      <c r="B8" s="8" t="s">
        <v>69</v>
      </c>
      <c r="C8" s="8"/>
      <c r="D8" s="8"/>
    </row>
    <row r="9" spans="1:4" x14ac:dyDescent="0.3">
      <c r="A9" s="8" t="s">
        <v>67</v>
      </c>
      <c r="B9" s="8" t="s">
        <v>43</v>
      </c>
      <c r="C9" s="8" t="s">
        <v>35</v>
      </c>
      <c r="D9" s="8" t="s">
        <v>68</v>
      </c>
    </row>
    <row r="10" spans="1:4" x14ac:dyDescent="0.3">
      <c r="A10" s="6" t="s">
        <v>61</v>
      </c>
      <c r="B10" s="7">
        <v>51</v>
      </c>
      <c r="C10" s="7">
        <v>12</v>
      </c>
      <c r="D10" s="7">
        <v>63</v>
      </c>
    </row>
    <row r="11" spans="1:4" x14ac:dyDescent="0.3">
      <c r="A11" s="6" t="s">
        <v>45</v>
      </c>
      <c r="B11" s="7">
        <v>828</v>
      </c>
      <c r="C11" s="7">
        <v>133</v>
      </c>
      <c r="D11" s="7">
        <v>961</v>
      </c>
    </row>
    <row r="12" spans="1:4" x14ac:dyDescent="0.3">
      <c r="A12" s="6" t="s">
        <v>37</v>
      </c>
      <c r="B12" s="7">
        <v>354</v>
      </c>
      <c r="C12" s="7">
        <v>92</v>
      </c>
      <c r="D12" s="7">
        <v>446</v>
      </c>
    </row>
    <row r="13" spans="1:4" x14ac:dyDescent="0.3">
      <c r="A13" s="6" t="s">
        <v>68</v>
      </c>
      <c r="B13" s="7">
        <v>1233</v>
      </c>
      <c r="C13" s="7">
        <v>237</v>
      </c>
      <c r="D13" s="7">
        <v>1470</v>
      </c>
    </row>
    <row r="14" spans="1:4" x14ac:dyDescent="0.3">
      <c r="A14" s="11"/>
      <c r="B14" s="11"/>
      <c r="C14" s="11"/>
      <c r="D14" s="11"/>
    </row>
    <row r="15" spans="1:4" ht="15.6" x14ac:dyDescent="0.3">
      <c r="A15" s="9" t="s">
        <v>74</v>
      </c>
      <c r="B15" s="9"/>
      <c r="C15" s="9"/>
      <c r="D15" s="9"/>
    </row>
    <row r="16" spans="1:4" x14ac:dyDescent="0.3">
      <c r="A16" s="8" t="s">
        <v>70</v>
      </c>
      <c r="B16" s="8" t="s">
        <v>69</v>
      </c>
      <c r="C16" s="8"/>
      <c r="D16" s="8"/>
    </row>
    <row r="17" spans="1:4" x14ac:dyDescent="0.3">
      <c r="A17" s="8" t="s">
        <v>67</v>
      </c>
      <c r="B17" s="8" t="s">
        <v>43</v>
      </c>
      <c r="C17" s="8" t="s">
        <v>35</v>
      </c>
      <c r="D17" s="8" t="s">
        <v>68</v>
      </c>
    </row>
    <row r="18" spans="1:4" x14ac:dyDescent="0.3">
      <c r="A18" s="6" t="s">
        <v>39</v>
      </c>
      <c r="B18" s="7">
        <v>501</v>
      </c>
      <c r="C18" s="7">
        <v>87</v>
      </c>
      <c r="D18" s="7">
        <v>588</v>
      </c>
    </row>
    <row r="19" spans="1:4" x14ac:dyDescent="0.3">
      <c r="A19" s="6" t="s">
        <v>46</v>
      </c>
      <c r="B19" s="7">
        <v>732</v>
      </c>
      <c r="C19" s="7">
        <v>150</v>
      </c>
      <c r="D19" s="7">
        <v>882</v>
      </c>
    </row>
    <row r="20" spans="1:4" x14ac:dyDescent="0.3">
      <c r="A20" s="6" t="s">
        <v>68</v>
      </c>
      <c r="B20" s="7">
        <v>1233</v>
      </c>
      <c r="C20" s="7">
        <v>237</v>
      </c>
      <c r="D20" s="7">
        <v>1470</v>
      </c>
    </row>
    <row r="21" spans="1:4" x14ac:dyDescent="0.3">
      <c r="A21" s="11"/>
      <c r="B21" s="11"/>
      <c r="C21" s="11"/>
      <c r="D21" s="11"/>
    </row>
    <row r="22" spans="1:4" ht="15.6" x14ac:dyDescent="0.3">
      <c r="A22" s="9" t="s">
        <v>75</v>
      </c>
      <c r="B22" s="9"/>
      <c r="C22" s="9"/>
      <c r="D22" s="9"/>
    </row>
    <row r="23" spans="1:4" x14ac:dyDescent="0.3">
      <c r="A23" s="8" t="s">
        <v>70</v>
      </c>
      <c r="B23" s="8" t="s">
        <v>69</v>
      </c>
      <c r="C23" s="8"/>
      <c r="D23" s="8"/>
    </row>
    <row r="24" spans="1:4" x14ac:dyDescent="0.3">
      <c r="A24" s="8" t="s">
        <v>67</v>
      </c>
      <c r="B24" s="8" t="s">
        <v>43</v>
      </c>
      <c r="C24" s="8" t="s">
        <v>35</v>
      </c>
      <c r="D24" s="8" t="s">
        <v>68</v>
      </c>
    </row>
    <row r="25" spans="1:4" x14ac:dyDescent="0.3">
      <c r="A25" s="6" t="s">
        <v>54</v>
      </c>
      <c r="B25" s="7">
        <v>122</v>
      </c>
      <c r="C25" s="7">
        <v>9</v>
      </c>
      <c r="D25" s="7">
        <v>131</v>
      </c>
    </row>
    <row r="26" spans="1:4" x14ac:dyDescent="0.3">
      <c r="A26" s="6" t="s">
        <v>61</v>
      </c>
      <c r="B26" s="7">
        <v>40</v>
      </c>
      <c r="C26" s="7">
        <v>12</v>
      </c>
      <c r="D26" s="7">
        <v>52</v>
      </c>
    </row>
    <row r="27" spans="1:4" x14ac:dyDescent="0.3">
      <c r="A27" s="6" t="s">
        <v>50</v>
      </c>
      <c r="B27" s="7">
        <v>197</v>
      </c>
      <c r="C27" s="7">
        <v>62</v>
      </c>
      <c r="D27" s="7">
        <v>259</v>
      </c>
    </row>
    <row r="28" spans="1:4" x14ac:dyDescent="0.3">
      <c r="A28" s="6" t="s">
        <v>56</v>
      </c>
      <c r="B28" s="7">
        <v>97</v>
      </c>
      <c r="C28" s="7">
        <v>5</v>
      </c>
      <c r="D28" s="7">
        <v>102</v>
      </c>
    </row>
    <row r="29" spans="1:4" x14ac:dyDescent="0.3">
      <c r="A29" s="6" t="s">
        <v>53</v>
      </c>
      <c r="B29" s="7">
        <v>135</v>
      </c>
      <c r="C29" s="7">
        <v>10</v>
      </c>
      <c r="D29" s="7">
        <v>145</v>
      </c>
    </row>
    <row r="30" spans="1:4" x14ac:dyDescent="0.3">
      <c r="A30" s="6" t="s">
        <v>58</v>
      </c>
      <c r="B30" s="7">
        <v>78</v>
      </c>
      <c r="C30" s="7">
        <v>2</v>
      </c>
      <c r="D30" s="7">
        <v>80</v>
      </c>
    </row>
    <row r="31" spans="1:4" x14ac:dyDescent="0.3">
      <c r="A31" s="6" t="s">
        <v>47</v>
      </c>
      <c r="B31" s="7">
        <v>245</v>
      </c>
      <c r="C31" s="7">
        <v>47</v>
      </c>
      <c r="D31" s="7">
        <v>292</v>
      </c>
    </row>
    <row r="32" spans="1:4" x14ac:dyDescent="0.3">
      <c r="A32" s="6" t="s">
        <v>40</v>
      </c>
      <c r="B32" s="7">
        <v>269</v>
      </c>
      <c r="C32" s="7">
        <v>57</v>
      </c>
      <c r="D32" s="7">
        <v>326</v>
      </c>
    </row>
    <row r="33" spans="1:4" x14ac:dyDescent="0.3">
      <c r="A33" s="6" t="s">
        <v>57</v>
      </c>
      <c r="B33" s="7">
        <v>50</v>
      </c>
      <c r="C33" s="7">
        <v>33</v>
      </c>
      <c r="D33" s="7">
        <v>83</v>
      </c>
    </row>
    <row r="34" spans="1:4" x14ac:dyDescent="0.3">
      <c r="A34" s="6" t="s">
        <v>68</v>
      </c>
      <c r="B34" s="7">
        <v>1233</v>
      </c>
      <c r="C34" s="7">
        <v>237</v>
      </c>
      <c r="D34" s="7">
        <v>1470</v>
      </c>
    </row>
    <row r="35" spans="1:4" x14ac:dyDescent="0.3">
      <c r="A35" s="11"/>
      <c r="B35" s="11"/>
      <c r="C35" s="11"/>
      <c r="D35" s="11"/>
    </row>
    <row r="36" spans="1:4" ht="15.6" x14ac:dyDescent="0.3">
      <c r="A36" s="10" t="s">
        <v>76</v>
      </c>
      <c r="B36" s="10"/>
      <c r="C36" s="10"/>
      <c r="D36" s="10"/>
    </row>
    <row r="37" spans="1:4" x14ac:dyDescent="0.3">
      <c r="A37" s="8" t="s">
        <v>70</v>
      </c>
      <c r="B37" s="8" t="s">
        <v>69</v>
      </c>
      <c r="C37" s="8"/>
      <c r="D37" s="8"/>
    </row>
    <row r="38" spans="1:4" x14ac:dyDescent="0.3">
      <c r="A38" s="8" t="s">
        <v>67</v>
      </c>
      <c r="B38" s="8" t="s">
        <v>43</v>
      </c>
      <c r="C38" s="8" t="s">
        <v>35</v>
      </c>
      <c r="D38" s="8" t="s">
        <v>68</v>
      </c>
    </row>
    <row r="39" spans="1:4" x14ac:dyDescent="0.3">
      <c r="A39" s="6" t="s">
        <v>43</v>
      </c>
      <c r="B39" s="7">
        <v>944</v>
      </c>
      <c r="C39" s="7">
        <v>110</v>
      </c>
      <c r="D39" s="7">
        <v>1054</v>
      </c>
    </row>
    <row r="40" spans="1:4" x14ac:dyDescent="0.3">
      <c r="A40" s="6" t="s">
        <v>35</v>
      </c>
      <c r="B40" s="7">
        <v>289</v>
      </c>
      <c r="C40" s="7">
        <v>127</v>
      </c>
      <c r="D40" s="7">
        <v>416</v>
      </c>
    </row>
    <row r="41" spans="1:4" x14ac:dyDescent="0.3">
      <c r="A41" s="6" t="s">
        <v>68</v>
      </c>
      <c r="B41" s="7">
        <v>1233</v>
      </c>
      <c r="C41" s="7">
        <v>237</v>
      </c>
      <c r="D41" s="7">
        <v>1470</v>
      </c>
    </row>
    <row r="42" spans="1:4" x14ac:dyDescent="0.3">
      <c r="A42" s="11"/>
      <c r="B42" s="11"/>
      <c r="C42" s="11"/>
      <c r="D42" s="11"/>
    </row>
    <row r="43" spans="1:4" ht="15.6" x14ac:dyDescent="0.3">
      <c r="A43" s="9" t="s">
        <v>77</v>
      </c>
      <c r="B43" s="9"/>
      <c r="C43" s="6"/>
      <c r="D43" s="6"/>
    </row>
    <row r="44" spans="1:4" x14ac:dyDescent="0.3">
      <c r="A44" s="8" t="s">
        <v>67</v>
      </c>
      <c r="B44" s="8" t="s">
        <v>71</v>
      </c>
      <c r="C44" s="6"/>
      <c r="D44" s="6"/>
    </row>
    <row r="45" spans="1:4" x14ac:dyDescent="0.3">
      <c r="A45" s="6" t="s">
        <v>61</v>
      </c>
      <c r="B45" s="7">
        <v>6654.5079365079364</v>
      </c>
      <c r="C45" s="6"/>
      <c r="D45" s="6"/>
    </row>
    <row r="46" spans="1:4" x14ac:dyDescent="0.3">
      <c r="A46" s="6" t="s">
        <v>45</v>
      </c>
      <c r="B46" s="7">
        <v>6281.2528616024974</v>
      </c>
      <c r="C46" s="6"/>
      <c r="D46" s="6"/>
    </row>
    <row r="47" spans="1:4" x14ac:dyDescent="0.3">
      <c r="A47" s="6" t="s">
        <v>37</v>
      </c>
      <c r="B47" s="7">
        <v>6959.17264573991</v>
      </c>
      <c r="C47" s="6"/>
      <c r="D47" s="6"/>
    </row>
    <row r="48" spans="1:4" x14ac:dyDescent="0.3">
      <c r="A48" s="6" t="s">
        <v>68</v>
      </c>
      <c r="B48" s="7">
        <v>6502.931292517007</v>
      </c>
      <c r="C48" s="6"/>
      <c r="D48" s="6"/>
    </row>
    <row r="49" spans="1:4" x14ac:dyDescent="0.3">
      <c r="A49" s="11"/>
      <c r="B49" s="11"/>
      <c r="C49" s="6"/>
      <c r="D49" s="6"/>
    </row>
    <row r="50" spans="1:4" ht="15.6" x14ac:dyDescent="0.3">
      <c r="A50" s="9" t="s">
        <v>78</v>
      </c>
      <c r="B50" s="9"/>
      <c r="C50" s="6"/>
      <c r="D50" s="6"/>
    </row>
    <row r="51" spans="1:4" x14ac:dyDescent="0.3">
      <c r="A51" s="8" t="s">
        <v>67</v>
      </c>
      <c r="B51" s="8" t="s">
        <v>72</v>
      </c>
      <c r="C51" s="6"/>
      <c r="D51" s="6"/>
    </row>
    <row r="52" spans="1:4" x14ac:dyDescent="0.3">
      <c r="A52" s="6" t="s">
        <v>61</v>
      </c>
      <c r="B52" s="7">
        <v>37.80952380952381</v>
      </c>
      <c r="C52" s="6"/>
      <c r="D52" s="6"/>
    </row>
    <row r="53" spans="1:4" x14ac:dyDescent="0.3">
      <c r="A53" s="6" t="s">
        <v>45</v>
      </c>
      <c r="B53" s="7">
        <v>37.042663891779398</v>
      </c>
      <c r="C53" s="6"/>
      <c r="D53" s="6"/>
    </row>
    <row r="54" spans="1:4" x14ac:dyDescent="0.3">
      <c r="A54" s="6" t="s">
        <v>37</v>
      </c>
      <c r="B54" s="7">
        <v>36.542600896860989</v>
      </c>
      <c r="C54" s="6"/>
      <c r="D54" s="6"/>
    </row>
    <row r="55" spans="1:4" x14ac:dyDescent="0.3">
      <c r="A55" s="6" t="s">
        <v>68</v>
      </c>
      <c r="B55" s="7">
        <v>36.923809523809524</v>
      </c>
      <c r="C55" s="6"/>
      <c r="D55" s="6"/>
    </row>
    <row r="56" spans="1:4" x14ac:dyDescent="0.3">
      <c r="A56" s="11"/>
      <c r="B56" s="11"/>
      <c r="C56" s="6"/>
      <c r="D56" s="6"/>
    </row>
    <row r="57" spans="1:4" ht="15.6" x14ac:dyDescent="0.3">
      <c r="A57" s="9" t="s">
        <v>79</v>
      </c>
      <c r="B57" s="9"/>
      <c r="C57" s="9"/>
      <c r="D57" s="9"/>
    </row>
    <row r="58" spans="1:4" x14ac:dyDescent="0.3">
      <c r="A58" s="8" t="s">
        <v>70</v>
      </c>
      <c r="B58" s="8" t="s">
        <v>69</v>
      </c>
      <c r="C58" s="8"/>
      <c r="D58" s="8"/>
    </row>
    <row r="59" spans="1:4" x14ac:dyDescent="0.3">
      <c r="A59" s="8" t="s">
        <v>67</v>
      </c>
      <c r="B59" s="8" t="s">
        <v>43</v>
      </c>
      <c r="C59" s="8" t="s">
        <v>35</v>
      </c>
      <c r="D59" s="8" t="s">
        <v>68</v>
      </c>
    </row>
    <row r="60" spans="1:4" x14ac:dyDescent="0.3">
      <c r="A60" s="6">
        <v>1</v>
      </c>
      <c r="B60" s="7">
        <v>223</v>
      </c>
      <c r="C60" s="7">
        <v>66</v>
      </c>
      <c r="D60" s="7">
        <v>289</v>
      </c>
    </row>
    <row r="61" spans="1:4" x14ac:dyDescent="0.3">
      <c r="A61" s="6">
        <v>2</v>
      </c>
      <c r="B61" s="7">
        <v>234</v>
      </c>
      <c r="C61" s="7">
        <v>46</v>
      </c>
      <c r="D61" s="7">
        <v>280</v>
      </c>
    </row>
    <row r="62" spans="1:4" x14ac:dyDescent="0.3">
      <c r="A62" s="6">
        <v>3</v>
      </c>
      <c r="B62" s="7">
        <v>369</v>
      </c>
      <c r="C62" s="7">
        <v>73</v>
      </c>
      <c r="D62" s="7">
        <v>442</v>
      </c>
    </row>
    <row r="63" spans="1:4" x14ac:dyDescent="0.3">
      <c r="A63" s="6">
        <v>4</v>
      </c>
      <c r="B63" s="7">
        <v>407</v>
      </c>
      <c r="C63" s="7">
        <v>52</v>
      </c>
      <c r="D63" s="7">
        <v>459</v>
      </c>
    </row>
    <row r="64" spans="1:4" x14ac:dyDescent="0.3">
      <c r="A64" s="6" t="s">
        <v>68</v>
      </c>
      <c r="B64" s="7">
        <v>1233</v>
      </c>
      <c r="C64" s="7">
        <v>237</v>
      </c>
      <c r="D64" s="7">
        <v>1470</v>
      </c>
    </row>
    <row r="65" spans="1:4" x14ac:dyDescent="0.3">
      <c r="A65" s="12"/>
      <c r="B65" s="12"/>
      <c r="C65" s="12"/>
      <c r="D65" s="12"/>
    </row>
  </sheetData>
  <mergeCells count="7">
    <mergeCell ref="A57:D57"/>
    <mergeCell ref="A7:D7"/>
    <mergeCell ref="A15:D15"/>
    <mergeCell ref="A22:D22"/>
    <mergeCell ref="A36:D36"/>
    <mergeCell ref="A43:B43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Abdallah Elsayed</dc:creator>
  <cp:lastModifiedBy>اياد  السيد محمد متولي</cp:lastModifiedBy>
  <dcterms:created xsi:type="dcterms:W3CDTF">2026-07-08T15:02:17Z</dcterms:created>
  <dcterms:modified xsi:type="dcterms:W3CDTF">2026-07-08T15:03:06Z</dcterms:modified>
</cp:coreProperties>
</file>